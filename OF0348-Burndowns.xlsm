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1BFF9F25-4F5D-4769-AED6-BDA47C62FCC9}" xr6:coauthVersionLast="33" xr6:coauthVersionMax="33" xr10:uidLastSave="{00000000-0000-0000-0000-000000000000}"/>
  <bookViews>
    <workbookView xWindow="2780" yWindow="4280" windowWidth="24860" windowHeight="15440" tabRatio="576" activeTab="1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rint Sheet Template" sheetId="16" r:id="rId5"/>
    <sheet name="Task Slips" sheetId="21" r:id="rId6"/>
  </sheets>
  <definedNames>
    <definedName name="_xlnm.Print_Area" localSheetId="1">'Product Backlog'!$A:$G</definedName>
    <definedName name="_xlnm.Print_Area" localSheetId="5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'Sprint Sheet Template'!$B$11</definedName>
    <definedName name="TaskRows">#REF!</definedName>
    <definedName name="TaskStatus" localSheetId="3">'Sp1'!$D$14:$D$57</definedName>
    <definedName name="TaskStatus">'Sprint Sheet Template'!$D$14:$D$58</definedName>
    <definedName name="TaskStoryID" localSheetId="3">'Sp1'!$B$14:$B$52</definedName>
    <definedName name="TaskStoryID">'Sprint Sheet Template'!$B$14:$B$53</definedName>
    <definedName name="TotalEffort" localSheetId="3">'Sp1'!$E$10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A61" i="21" l="1"/>
  <c r="A53" i="21"/>
  <c r="A45" i="21"/>
  <c r="A37" i="21"/>
  <c r="A29" i="21"/>
  <c r="A21" i="21"/>
  <c r="A13" i="21"/>
  <c r="A5" i="21"/>
  <c r="E18" i="7" l="1"/>
  <c r="D15" i="20"/>
  <c r="D15" i="16"/>
  <c r="C28" i="20"/>
  <c r="B17" i="7" l="1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T10" i="19" l="1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B30" i="20" l="1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E30" i="20" l="1"/>
  <c r="F30" i="20"/>
  <c r="G30" i="20" s="1"/>
  <c r="B31" i="20"/>
  <c r="E31" i="20" s="1"/>
  <c r="I31" i="20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B32" i="20" l="1"/>
  <c r="B33" i="20" s="1"/>
  <c r="F33" i="20" s="1"/>
  <c r="F31" i="20"/>
  <c r="G31" i="20" s="1"/>
  <c r="K30" i="20"/>
  <c r="N31" i="20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I32" i="20" l="1"/>
  <c r="H32" i="20" s="1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L31" i="20" l="1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M32" i="20" l="1"/>
  <c r="M33" i="20"/>
  <c r="M29" i="20"/>
  <c r="N61" i="19"/>
  <c r="N62" i="19"/>
  <c r="N11" i="19"/>
  <c r="O14" i="19"/>
  <c r="G3" i="20"/>
  <c r="B25" i="7"/>
  <c r="D24" i="7"/>
  <c r="A24" i="7"/>
  <c r="E24" i="7" s="1"/>
  <c r="D12" i="20" l="1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P11" i="19" l="1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Q61" i="19" l="1"/>
  <c r="Q11" i="19"/>
  <c r="R14" i="19"/>
  <c r="Q62" i="19"/>
  <c r="D27" i="7"/>
  <c r="B28" i="7"/>
  <c r="A27" i="7"/>
  <c r="E27" i="7" s="1"/>
  <c r="R61" i="19" l="1"/>
  <c r="R62" i="19"/>
  <c r="S14" i="19"/>
  <c r="R11" i="19"/>
  <c r="D28" i="7"/>
  <c r="B29" i="7"/>
  <c r="A28" i="7"/>
  <c r="E28" i="7" s="1"/>
  <c r="S11" i="19" l="1"/>
  <c r="S62" i="19"/>
  <c r="S61" i="19"/>
  <c r="T14" i="19"/>
  <c r="A29" i="7"/>
  <c r="E29" i="7" s="1"/>
  <c r="D29" i="7"/>
  <c r="B30" i="7"/>
  <c r="T61" i="19" l="1"/>
  <c r="T62" i="19"/>
  <c r="U14" i="19"/>
  <c r="T11" i="19"/>
  <c r="A30" i="7"/>
  <c r="E30" i="7" s="1"/>
  <c r="D30" i="7"/>
  <c r="U11" i="19" l="1"/>
  <c r="U61" i="19"/>
  <c r="V14" i="19"/>
  <c r="U62" i="19"/>
  <c r="V61" i="19" l="1"/>
  <c r="V62" i="19"/>
  <c r="V11" i="19"/>
  <c r="W14" i="19"/>
  <c r="W62" i="19" l="1"/>
  <c r="W11" i="19"/>
  <c r="X14" i="19"/>
  <c r="W61" i="19"/>
  <c r="X61" i="19" l="1"/>
  <c r="X62" i="19"/>
  <c r="Y14" i="19"/>
  <c r="X11" i="19"/>
  <c r="Y11" i="19" l="1"/>
  <c r="Y61" i="19"/>
  <c r="Z14" i="19"/>
  <c r="Y62" i="19"/>
  <c r="Z61" i="19" l="1"/>
  <c r="Z62" i="19"/>
  <c r="AA14" i="19"/>
  <c r="Z11" i="19"/>
  <c r="AA62" i="19" l="1"/>
  <c r="AA11" i="19"/>
  <c r="AA61" i="19"/>
  <c r="AB14" i="19"/>
  <c r="AB11" i="19" l="1"/>
  <c r="AB62" i="19"/>
  <c r="AC14" i="19"/>
  <c r="AB61" i="19"/>
  <c r="AC37" i="19" l="1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AC10" i="19" l="1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<sst xmlns="http://schemas.openxmlformats.org/spreadsheetml/2006/main" count="266" uniqueCount="130">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</sst>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487</c:v>
                </c:pt>
                <c:pt idx="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2"/>
                <c:pt idx="0">
                  <c:v>487</c:v>
                </c:pt>
                <c:pt idx="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2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2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546100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4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H16" sqref="H16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55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116</v>
      </c>
      <c r="C15" s="47" t="s">
        <v>117</v>
      </c>
      <c r="D15" s="47" t="s">
        <v>118</v>
      </c>
      <c r="E15" s="47" t="s">
        <v>119</v>
      </c>
      <c r="F15" s="10" t="s">
        <v>120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115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0</v>
      </c>
      <c r="F17" s="4" t="s">
        <v>115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80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432</v>
      </c>
      <c r="F31" s="23"/>
      <c r="G31" s="52"/>
      <c r="H31" s="23"/>
    </row>
  </sheetData>
  <phoneticPr fontId="2" type="noConversion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tabSelected="1" workbookViewId="0">
      <pane ySplit="4" topLeftCell="A5" activePane="bottomLeft" state="frozen"/>
      <selection pane="bottomLeft" activeCell="E8" sqref="E8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96</v>
      </c>
      <c r="B5" s="102" t="s">
        <v>104</v>
      </c>
      <c r="C5" s="34" t="s">
        <v>79</v>
      </c>
      <c r="D5" s="34">
        <v>55</v>
      </c>
      <c r="E5" s="34">
        <v>1</v>
      </c>
      <c r="F5" s="103" t="s">
        <v>111</v>
      </c>
    </row>
    <row r="6" spans="1:7" x14ac:dyDescent="0.25">
      <c r="A6" s="34" t="s">
        <v>97</v>
      </c>
      <c r="B6" s="102" t="s">
        <v>105</v>
      </c>
      <c r="C6" s="34" t="s">
        <v>19</v>
      </c>
      <c r="D6" s="34">
        <v>55</v>
      </c>
      <c r="F6" s="103" t="s">
        <v>112</v>
      </c>
    </row>
    <row r="7" spans="1:7" x14ac:dyDescent="0.25">
      <c r="A7" s="34" t="s">
        <v>98</v>
      </c>
      <c r="B7" s="102" t="s">
        <v>106</v>
      </c>
      <c r="C7" s="34" t="s">
        <v>19</v>
      </c>
      <c r="D7" s="34">
        <v>55</v>
      </c>
      <c r="F7" s="103" t="s">
        <v>111</v>
      </c>
    </row>
    <row r="8" spans="1:7" x14ac:dyDescent="0.25">
      <c r="A8" s="34" t="s">
        <v>99</v>
      </c>
      <c r="B8" s="102" t="s">
        <v>107</v>
      </c>
      <c r="C8" s="34" t="s">
        <v>19</v>
      </c>
      <c r="D8" s="34">
        <v>55</v>
      </c>
      <c r="F8" s="103" t="s">
        <v>113</v>
      </c>
    </row>
    <row r="9" spans="1:7" x14ac:dyDescent="0.25">
      <c r="A9" s="34" t="s">
        <v>100</v>
      </c>
      <c r="B9" s="102" t="s">
        <v>114</v>
      </c>
      <c r="C9" s="34" t="s">
        <v>19</v>
      </c>
      <c r="D9" s="34">
        <v>34</v>
      </c>
      <c r="F9" s="103" t="s">
        <v>113</v>
      </c>
    </row>
    <row r="10" spans="1:7" ht="26.25" customHeight="1" x14ac:dyDescent="0.25">
      <c r="A10" s="34" t="s">
        <v>101</v>
      </c>
      <c r="B10" s="102" t="s">
        <v>108</v>
      </c>
      <c r="C10" s="34" t="s">
        <v>19</v>
      </c>
      <c r="D10" s="34">
        <v>89</v>
      </c>
      <c r="F10" s="103" t="s">
        <v>111</v>
      </c>
    </row>
    <row r="11" spans="1:7" ht="26.25" customHeight="1" x14ac:dyDescent="0.25">
      <c r="A11" s="34" t="s">
        <v>102</v>
      </c>
      <c r="B11" s="102" t="s">
        <v>109</v>
      </c>
      <c r="C11" s="34" t="s">
        <v>19</v>
      </c>
      <c r="D11" s="34">
        <v>89</v>
      </c>
      <c r="F11" s="103" t="s">
        <v>111</v>
      </c>
    </row>
    <row r="12" spans="1:7" x14ac:dyDescent="0.25">
      <c r="A12" s="34" t="s">
        <v>103</v>
      </c>
      <c r="B12" s="102" t="s">
        <v>110</v>
      </c>
      <c r="C12" s="34" t="s">
        <v>19</v>
      </c>
      <c r="D12" s="34">
        <v>55</v>
      </c>
      <c r="F12" s="103" t="s">
        <v>111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3">
    <cfRule type="expression" dxfId="17" priority="4" stopIfTrue="1">
      <formula>#REF!="Done"</formula>
    </cfRule>
    <cfRule type="expression" dxfId="16" priority="5" stopIfTrue="1">
      <formula>#REF!="Ongoing"</formula>
    </cfRule>
    <cfRule type="expression" dxfId="15" priority="6" stopIfTrue="1">
      <formula>#REF!="Removed"</formula>
    </cfRule>
  </conditionalFormatting>
  <conditionalFormatting sqref="G42:G43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22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topLeftCell="A16" workbookViewId="0">
      <selection activeCell="D28" sqref="D28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2</v>
      </c>
    </row>
    <row r="4" spans="1:26" x14ac:dyDescent="0.25">
      <c r="A4" s="104" t="s">
        <v>40</v>
      </c>
      <c r="D4">
        <v>1</v>
      </c>
      <c r="E4" t="s">
        <v>41</v>
      </c>
      <c r="F4" t="s">
        <v>58</v>
      </c>
      <c r="G4" s="55">
        <f>IF(COUNT(D28:D33)=0,1,COUNT(D28:D33)+1)</f>
        <v>2</v>
      </c>
    </row>
    <row r="5" spans="1:26" ht="13" x14ac:dyDescent="0.3">
      <c r="F5" t="s">
        <v>42</v>
      </c>
      <c r="G5" s="55">
        <f>IF(G4&gt;D4,G4-D4,0)</f>
        <v>1</v>
      </c>
      <c r="Z5" s="38" t="s">
        <v>81</v>
      </c>
    </row>
    <row r="6" spans="1:26" ht="13" x14ac:dyDescent="0.3">
      <c r="A6" s="1" t="s">
        <v>72</v>
      </c>
      <c r="F6" t="s">
        <v>43</v>
      </c>
      <c r="G6" s="55">
        <f>TrendSprintCount-TrendOffset</f>
        <v>1</v>
      </c>
      <c r="Z6" s="38" t="s">
        <v>82</v>
      </c>
    </row>
    <row r="7" spans="1:26" ht="13" x14ac:dyDescent="0.3">
      <c r="A7" t="s">
        <v>46</v>
      </c>
      <c r="D7">
        <v>60</v>
      </c>
      <c r="Z7" s="38" t="s">
        <v>85</v>
      </c>
    </row>
    <row r="8" spans="1:26" ht="13" x14ac:dyDescent="0.3">
      <c r="A8" s="107">
        <f>D$4</f>
        <v>1</v>
      </c>
      <c r="B8" s="107"/>
      <c r="D8" s="58">
        <f ca="1">IF(D28="","",AVERAGE(OFFSET(D27,TrendOffset,0,SprintsInTrend,1)))</f>
        <v>55</v>
      </c>
      <c r="Z8" s="38" t="s">
        <v>86</v>
      </c>
    </row>
    <row r="9" spans="1:26" ht="13" x14ac:dyDescent="0.3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1</v>
      </c>
      <c r="Z9" s="38" t="s">
        <v>87</v>
      </c>
    </row>
    <row r="10" spans="1:26" ht="13" x14ac:dyDescent="0.3">
      <c r="A10" t="s">
        <v>48</v>
      </c>
      <c r="D10" s="58">
        <f ca="1">IF(D28="","",AVERAGE(LastEight))</f>
        <v>55</v>
      </c>
      <c r="Z10" s="38" t="s">
        <v>83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84</v>
      </c>
    </row>
    <row r="12" spans="1:26" ht="13" x14ac:dyDescent="0.3">
      <c r="A12" t="s">
        <v>24</v>
      </c>
      <c r="D12" s="58" t="str">
        <f ca="1">IF(M29="","",M28-M29)</f>
        <v/>
      </c>
      <c r="Z12" s="38" t="s">
        <v>88</v>
      </c>
    </row>
    <row r="13" spans="1:26" ht="13" x14ac:dyDescent="0.3">
      <c r="F13" s="56" t="s">
        <v>52</v>
      </c>
      <c r="Z13" s="38" t="s">
        <v>89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1</v>
      </c>
    </row>
    <row r="18" spans="1:17" x14ac:dyDescent="0.25">
      <c r="A18" s="107">
        <f>D$4</f>
        <v>1</v>
      </c>
      <c r="B18" s="107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432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 t="str">
        <f ca="1">IF(COUNT(M28:M33)-1&gt;0,COUNT(M28:M33)-1,"")</f>
        <v/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432</v>
      </c>
      <c r="M28" s="55">
        <f ca="1">L28</f>
        <v>432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/>
      <c r="D29" s="2"/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432</v>
      </c>
      <c r="M29" s="55" t="str">
        <f ca="1">IF(L29=L28,"",L29)</f>
        <v/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432</v>
      </c>
      <c r="M30" s="55" t="str">
        <f t="shared" ref="M30:M33" ca="1" si="10">IF(L30=L29,"",L30)</f>
        <v/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432</v>
      </c>
      <c r="M31" s="55" t="str">
        <f t="shared" ca="1" si="10"/>
        <v/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432</v>
      </c>
      <c r="M32" s="55" t="str">
        <f t="shared" ca="1" si="10"/>
        <v/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432</v>
      </c>
      <c r="M33" s="55" t="str">
        <f t="shared" ca="1" si="10"/>
        <v/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workbookViewId="0">
      <pane ySplit="14" topLeftCell="A15" activePane="bottomLeft" state="frozen"/>
      <selection pane="bottomLeft" activeCell="C28" sqref="C28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122</v>
      </c>
      <c r="B15" s="105" t="s">
        <v>96</v>
      </c>
      <c r="C15" s="104" t="s">
        <v>121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123</v>
      </c>
      <c r="B16" s="2" t="s">
        <v>96</v>
      </c>
      <c r="C16" s="104" t="s">
        <v>121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124</v>
      </c>
      <c r="B17" s="2" t="s">
        <v>96</v>
      </c>
      <c r="C17" s="104" t="s">
        <v>121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125</v>
      </c>
      <c r="B18" s="105" t="s">
        <v>96</v>
      </c>
      <c r="C18" s="104" t="s">
        <v>121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126</v>
      </c>
      <c r="B19" s="105" t="s">
        <v>96</v>
      </c>
      <c r="C19" s="104" t="s">
        <v>121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127</v>
      </c>
      <c r="B20" s="105" t="s">
        <v>96</v>
      </c>
      <c r="C20" s="104" t="s">
        <v>121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129</v>
      </c>
      <c r="B21" s="105" t="s">
        <v>96</v>
      </c>
      <c r="C21" s="104" t="s">
        <v>121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128</v>
      </c>
      <c r="B22" s="105" t="s">
        <v>96</v>
      </c>
      <c r="C22" s="104" t="s">
        <v>121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75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2"/>
  <sheetViews>
    <sheetView topLeftCell="A4" zoomScale="70" zoomScaleNormal="70" workbookViewId="0">
      <selection activeCell="H22" sqref="H22"/>
    </sheetView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91</v>
      </c>
      <c r="B1" s="100" t="s">
        <v>96</v>
      </c>
      <c r="C1" s="85" t="s">
        <v>92</v>
      </c>
      <c r="D1" s="86" t="s">
        <v>104</v>
      </c>
      <c r="E1" s="86"/>
      <c r="F1" s="87"/>
    </row>
    <row r="2" spans="1:6" x14ac:dyDescent="0.25">
      <c r="A2" s="88" t="s">
        <v>93</v>
      </c>
      <c r="B2" s="81" t="s">
        <v>122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90</v>
      </c>
      <c r="B6" s="101">
        <v>8</v>
      </c>
      <c r="C6" s="96" t="s">
        <v>95</v>
      </c>
      <c r="D6" s="95"/>
      <c r="E6" s="96" t="s">
        <v>94</v>
      </c>
      <c r="F6" s="97"/>
    </row>
    <row r="8" spans="1:6" ht="13" thickBot="1" x14ac:dyDescent="0.3"/>
    <row r="9" spans="1:6" ht="13" x14ac:dyDescent="0.25">
      <c r="A9" s="84" t="s">
        <v>91</v>
      </c>
      <c r="B9" s="100" t="s">
        <v>96</v>
      </c>
      <c r="C9" s="85" t="s">
        <v>92</v>
      </c>
      <c r="D9" s="86" t="s">
        <v>104</v>
      </c>
      <c r="E9" s="86"/>
      <c r="F9" s="87"/>
    </row>
    <row r="10" spans="1:6" x14ac:dyDescent="0.25">
      <c r="A10" s="88" t="s">
        <v>93</v>
      </c>
      <c r="B10" s="81" t="s">
        <v>123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90</v>
      </c>
      <c r="B14" s="101">
        <v>10</v>
      </c>
      <c r="C14" s="96" t="s">
        <v>95</v>
      </c>
      <c r="D14" s="95"/>
      <c r="E14" s="96" t="s">
        <v>94</v>
      </c>
      <c r="F14" s="97"/>
    </row>
    <row r="16" spans="1:6" ht="13" thickBot="1" x14ac:dyDescent="0.3"/>
    <row r="17" spans="1:6" ht="13" x14ac:dyDescent="0.25">
      <c r="A17" s="84" t="s">
        <v>91</v>
      </c>
      <c r="B17" s="100" t="s">
        <v>96</v>
      </c>
      <c r="C17" s="85" t="s">
        <v>92</v>
      </c>
      <c r="D17" s="86" t="s">
        <v>104</v>
      </c>
      <c r="E17" s="86"/>
      <c r="F17" s="87"/>
    </row>
    <row r="18" spans="1:6" x14ac:dyDescent="0.25">
      <c r="A18" s="88" t="s">
        <v>93</v>
      </c>
      <c r="B18" s="81" t="s">
        <v>124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",'Sp1'!C17)</f>
        <v>Responsible Person: Marcelo A.</v>
      </c>
      <c r="B21" s="80"/>
      <c r="C21" s="80"/>
      <c r="D21" s="80"/>
      <c r="E21" s="80"/>
      <c r="F21" s="99"/>
    </row>
    <row r="22" spans="1:6" ht="25.5" thickBot="1" x14ac:dyDescent="0.3">
      <c r="A22" s="94" t="s">
        <v>90</v>
      </c>
      <c r="B22" s="101">
        <v>10</v>
      </c>
      <c r="C22" s="96" t="s">
        <v>95</v>
      </c>
      <c r="D22" s="95"/>
      <c r="E22" s="96" t="s">
        <v>94</v>
      </c>
      <c r="F22" s="97"/>
    </row>
    <row r="24" spans="1:6" ht="13" thickBot="1" x14ac:dyDescent="0.3"/>
    <row r="25" spans="1:6" ht="13" x14ac:dyDescent="0.25">
      <c r="A25" s="84" t="s">
        <v>91</v>
      </c>
      <c r="B25" s="100" t="s">
        <v>96</v>
      </c>
      <c r="C25" s="85" t="s">
        <v>92</v>
      </c>
      <c r="D25" s="86" t="s">
        <v>104</v>
      </c>
      <c r="E25" s="86"/>
      <c r="F25" s="87"/>
    </row>
    <row r="26" spans="1:6" x14ac:dyDescent="0.25">
      <c r="A26" s="88" t="s">
        <v>93</v>
      </c>
      <c r="B26" s="81" t="s">
        <v>125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",'Sp1'!C18)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90</v>
      </c>
      <c r="B30" s="101">
        <v>8</v>
      </c>
      <c r="C30" s="96" t="s">
        <v>95</v>
      </c>
      <c r="D30" s="95"/>
      <c r="E30" s="96" t="s">
        <v>94</v>
      </c>
      <c r="F30" s="97"/>
    </row>
    <row r="32" spans="1:6" ht="13" thickBot="1" x14ac:dyDescent="0.3"/>
    <row r="33" spans="1:6" ht="13" x14ac:dyDescent="0.25">
      <c r="A33" s="84" t="s">
        <v>91</v>
      </c>
      <c r="B33" s="100" t="s">
        <v>96</v>
      </c>
      <c r="C33" s="85" t="s">
        <v>92</v>
      </c>
      <c r="D33" s="86" t="s">
        <v>104</v>
      </c>
      <c r="E33" s="86"/>
      <c r="F33" s="87"/>
    </row>
    <row r="34" spans="1:6" x14ac:dyDescent="0.25">
      <c r="A34" s="88" t="s">
        <v>93</v>
      </c>
      <c r="B34" s="81" t="s">
        <v>126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",'Sp1'!C19)</f>
        <v>Responsible Person: Marcelo A.</v>
      </c>
      <c r="B37" s="80"/>
      <c r="C37" s="80"/>
      <c r="D37" s="80"/>
      <c r="E37" s="80"/>
      <c r="F37" s="99"/>
    </row>
    <row r="38" spans="1:6" ht="25.5" thickBot="1" x14ac:dyDescent="0.3">
      <c r="A38" s="94" t="s">
        <v>90</v>
      </c>
      <c r="B38" s="101">
        <v>8</v>
      </c>
      <c r="C38" s="96" t="s">
        <v>95</v>
      </c>
      <c r="D38" s="95"/>
      <c r="E38" s="96" t="s">
        <v>94</v>
      </c>
      <c r="F38" s="97"/>
    </row>
    <row r="40" spans="1:6" ht="13" thickBot="1" x14ac:dyDescent="0.3"/>
    <row r="41" spans="1:6" ht="13" x14ac:dyDescent="0.25">
      <c r="A41" s="84" t="s">
        <v>91</v>
      </c>
      <c r="B41" s="100" t="s">
        <v>96</v>
      </c>
      <c r="C41" s="85" t="s">
        <v>92</v>
      </c>
      <c r="D41" s="86" t="s">
        <v>104</v>
      </c>
      <c r="E41" s="86"/>
      <c r="F41" s="87"/>
    </row>
    <row r="42" spans="1:6" x14ac:dyDescent="0.25">
      <c r="A42" s="88" t="s">
        <v>93</v>
      </c>
      <c r="B42" s="81" t="s">
        <v>127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",'Sp1'!C20)</f>
        <v>Responsible Person: Marcelo A.</v>
      </c>
      <c r="B45" s="80"/>
      <c r="C45" s="80"/>
      <c r="D45" s="80"/>
      <c r="E45" s="80"/>
      <c r="F45" s="99"/>
    </row>
    <row r="46" spans="1:6" ht="25.5" thickBot="1" x14ac:dyDescent="0.3">
      <c r="A46" s="94" t="s">
        <v>90</v>
      </c>
      <c r="B46" s="101">
        <v>2</v>
      </c>
      <c r="C46" s="96" t="s">
        <v>95</v>
      </c>
      <c r="D46" s="95"/>
      <c r="E46" s="96" t="s">
        <v>94</v>
      </c>
      <c r="F46" s="97"/>
    </row>
    <row r="48" spans="1:6" ht="13" thickBot="1" x14ac:dyDescent="0.3"/>
    <row r="49" spans="1:6" ht="13" x14ac:dyDescent="0.25">
      <c r="A49" s="84" t="s">
        <v>91</v>
      </c>
      <c r="B49" s="100" t="s">
        <v>96</v>
      </c>
      <c r="C49" s="85" t="s">
        <v>92</v>
      </c>
      <c r="D49" s="86" t="s">
        <v>104</v>
      </c>
      <c r="E49" s="86"/>
      <c r="F49" s="87"/>
    </row>
    <row r="50" spans="1:6" x14ac:dyDescent="0.25">
      <c r="A50" s="88" t="s">
        <v>93</v>
      </c>
      <c r="B50" s="81" t="s">
        <v>129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",'Sp1'!C21)</f>
        <v>Responsible Person: Marcelo A.</v>
      </c>
      <c r="B53" s="80"/>
      <c r="C53" s="80"/>
      <c r="D53" s="80"/>
      <c r="E53" s="80"/>
      <c r="F53" s="99"/>
    </row>
    <row r="54" spans="1:6" ht="25.5" thickBot="1" x14ac:dyDescent="0.3">
      <c r="A54" s="94" t="s">
        <v>90</v>
      </c>
      <c r="B54" s="101">
        <v>5</v>
      </c>
      <c r="C54" s="96" t="s">
        <v>95</v>
      </c>
      <c r="D54" s="95"/>
      <c r="E54" s="96" t="s">
        <v>94</v>
      </c>
      <c r="F54" s="97"/>
    </row>
    <row r="56" spans="1:6" ht="13" thickBot="1" x14ac:dyDescent="0.3"/>
    <row r="57" spans="1:6" ht="13" x14ac:dyDescent="0.25">
      <c r="A57" s="84" t="s">
        <v>91</v>
      </c>
      <c r="B57" s="100" t="s">
        <v>96</v>
      </c>
      <c r="C57" s="85" t="s">
        <v>92</v>
      </c>
      <c r="D57" s="86" t="s">
        <v>104</v>
      </c>
      <c r="E57" s="86"/>
      <c r="F57" s="87"/>
    </row>
    <row r="58" spans="1:6" x14ac:dyDescent="0.25">
      <c r="A58" s="88" t="s">
        <v>93</v>
      </c>
      <c r="B58" s="81" t="s">
        <v>128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",'Sp1'!C22)</f>
        <v>Responsible Person: Marcelo A.</v>
      </c>
      <c r="B61" s="80"/>
      <c r="C61" s="80"/>
      <c r="D61" s="80"/>
      <c r="E61" s="80"/>
      <c r="F61" s="99"/>
    </row>
    <row r="62" spans="1:6" ht="25.5" thickBot="1" x14ac:dyDescent="0.3">
      <c r="A62" s="94" t="s">
        <v>90</v>
      </c>
      <c r="B62" s="101">
        <v>10</v>
      </c>
      <c r="C62" s="96" t="s">
        <v>95</v>
      </c>
      <c r="D62" s="95"/>
      <c r="E62" s="96" t="s">
        <v>94</v>
      </c>
      <c r="F62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25</vt:i4>
      </vt:variant>
    </vt:vector>
  </HeadingPairs>
  <TitlesOfParts>
    <vt:vector size="31" baseType="lpstr">
      <vt:lpstr>Release Plan</vt:lpstr>
      <vt:lpstr>Product Backlog</vt:lpstr>
      <vt:lpstr>PB Burndown</vt:lpstr>
      <vt:lpstr>Sp1</vt:lpstr>
      <vt:lpstr>Sprint Sheet Template</vt:lpstr>
      <vt:lpstr>Task Slips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2018-05-13T04:45:10Z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