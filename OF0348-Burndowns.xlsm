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97B5AE71-1520-4638-8EA9-D231D1D34256}" xr6:coauthVersionLast="34" xr6:coauthVersionMax="34" xr10:uidLastSave="{00000000-0000-0000-0000-000000000000}"/>
  <bookViews>
    <workbookView xWindow="2772" yWindow="4272" windowWidth="11628" windowHeight="2076" tabRatio="576" activeTab="7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3" sheetId="23" r:id="rId6"/>
    <sheet name="Sp4" sheetId="24" r:id="rId7"/>
    <sheet name="Sp5" sheetId="25" r:id="rId8"/>
    <sheet name="Sprint Sheet Template" sheetId="16" r:id="rId9"/>
    <sheet name="Task Slips" sheetId="21" r:id="rId10"/>
  </sheets>
  <definedNames>
    <definedName name="_xlnm.Print_Area" localSheetId="1">'Product Backlog'!$A:$G</definedName>
    <definedName name="_xlnm.Print_Area" localSheetId="9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'Sp3'!$D$11</definedName>
    <definedName name="DoneDays" localSheetId="6">'Sp4'!$D$11</definedName>
    <definedName name="DoneDays" localSheetId="7">'Sp5'!$D$11</definedName>
    <definedName name="DoneDays" localSheetId="8">'Sprint Sheet Template'!$D$11</definedName>
    <definedName name="DoneDays">#REF!</definedName>
    <definedName name="ImplementationDays" localSheetId="3">'Sp1'!$B$9</definedName>
    <definedName name="ImplementationDays" localSheetId="4">'Sp2'!$B$9</definedName>
    <definedName name="ImplementationDays" localSheetId="5">'Sp3'!$B$9</definedName>
    <definedName name="ImplementationDays" localSheetId="6">'Sp4'!$B$9</definedName>
    <definedName name="ImplementationDays" localSheetId="7">'Sp5'!$B$9</definedName>
    <definedName name="ImplementationDays" localSheetId="8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OFFSET('Sp3'!$F$10,0,0,1,'Sp3'!DoneDays)</definedName>
    <definedName name="RealValues" localSheetId="6">OFFSET('Sp4'!$F$10,0,0,1,'Sp4'!DoneDays)</definedName>
    <definedName name="RealValues" localSheetId="7">OFFSET('Sp5'!$F$10,0,0,1,'Sp5'!DoneDays)</definedName>
    <definedName name="RealValues" localSheetId="8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'Sp2'!$A$14:$AD$59</definedName>
    <definedName name="SprintTasks" localSheetId="5">'Sp3'!$A$14:$AD$59</definedName>
    <definedName name="SprintTasks" localSheetId="6">'Sp4'!$A$14:$AD$56</definedName>
    <definedName name="SprintTasks" localSheetId="7">'Sp5'!$A$14:$AD$56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'Sp3'!$B$11</definedName>
    <definedName name="TaskRows" localSheetId="6">'Sp4'!$B$11</definedName>
    <definedName name="TaskRows" localSheetId="7">'Sp5'!$B$11</definedName>
    <definedName name="TaskRows" localSheetId="8">'Sprint Sheet Template'!$B$11</definedName>
    <definedName name="TaskRows">#REF!</definedName>
    <definedName name="TaskStatus" localSheetId="3">'Sp1'!$D$14:$D$57</definedName>
    <definedName name="TaskStatus" localSheetId="4">'Sp2'!$D$14:$D$54</definedName>
    <definedName name="TaskStatus" localSheetId="5">'Sp3'!$D$14:$D$54</definedName>
    <definedName name="TaskStatus" localSheetId="6">'Sp4'!$D$14:$D$51</definedName>
    <definedName name="TaskStatus" localSheetId="7">'Sp5'!$D$14:$D$51</definedName>
    <definedName name="TaskStatus">'Sprint Sheet Template'!$D$14:$D$58</definedName>
    <definedName name="TaskStoryID" localSheetId="3">'Sp1'!$B$14:$B$52</definedName>
    <definedName name="TaskStoryID" localSheetId="4">'Sp2'!$B$14:$B$49</definedName>
    <definedName name="TaskStoryID" localSheetId="5">'Sp3'!$B$14:$B$49</definedName>
    <definedName name="TaskStoryID" localSheetId="6">'Sp4'!$B$14:$B$46</definedName>
    <definedName name="TaskStoryID" localSheetId="7">'Sp5'!$B$14:$B$46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'Sp3'!$E$10</definedName>
    <definedName name="TotalEffort" localSheetId="6">'Sp4'!$E$10</definedName>
    <definedName name="TotalEffort" localSheetId="7">'Sp5'!$E$10</definedName>
    <definedName name="TotalEffort" localSheetId="8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 localSheetId="5">'Sp3'!$D$13</definedName>
    <definedName name="TrendDays" localSheetId="6">'Sp4'!$D$13</definedName>
    <definedName name="TrendDays" localSheetId="7">'Sp5'!$D$13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7" i="25" l="1"/>
  <c r="F38" i="25"/>
  <c r="D38" i="25"/>
  <c r="G37" i="25"/>
  <c r="F37" i="25"/>
  <c r="D37" i="25"/>
  <c r="F36" i="25"/>
  <c r="D36" i="25"/>
  <c r="F35" i="25"/>
  <c r="D35" i="25"/>
  <c r="F34" i="25"/>
  <c r="D34" i="25"/>
  <c r="F33" i="25"/>
  <c r="D33" i="25"/>
  <c r="F32" i="25"/>
  <c r="D32" i="25"/>
  <c r="F31" i="25"/>
  <c r="D31" i="25"/>
  <c r="F30" i="25"/>
  <c r="D30" i="25"/>
  <c r="F29" i="25"/>
  <c r="D29" i="25"/>
  <c r="F28" i="25"/>
  <c r="D28" i="25"/>
  <c r="F27" i="25"/>
  <c r="D27" i="25"/>
  <c r="F26" i="25"/>
  <c r="D26" i="25"/>
  <c r="D25" i="25"/>
  <c r="G14" i="25"/>
  <c r="G38" i="25" s="1"/>
  <c r="B11" i="25"/>
  <c r="G10" i="25" l="1"/>
  <c r="O10" i="25"/>
  <c r="W10" i="25"/>
  <c r="L10" i="25"/>
  <c r="P10" i="25"/>
  <c r="X10" i="25"/>
  <c r="AB10" i="25"/>
  <c r="H10" i="25"/>
  <c r="T10" i="25"/>
  <c r="I10" i="25"/>
  <c r="Q10" i="25"/>
  <c r="U10" i="25"/>
  <c r="Y10" i="25"/>
  <c r="K10" i="25"/>
  <c r="S10" i="25"/>
  <c r="AA10" i="25"/>
  <c r="E10" i="25"/>
  <c r="M10" i="25"/>
  <c r="F10" i="25"/>
  <c r="J10" i="25"/>
  <c r="N10" i="25"/>
  <c r="R10" i="25"/>
  <c r="V10" i="25"/>
  <c r="Z10" i="25"/>
  <c r="H14" i="25"/>
  <c r="H37" i="25" l="1"/>
  <c r="H38" i="25"/>
  <c r="I14" i="25"/>
  <c r="H11" i="25"/>
  <c r="G11" i="25"/>
  <c r="F11" i="25"/>
  <c r="I37" i="25" l="1"/>
  <c r="I38" i="25"/>
  <c r="J14" i="25"/>
  <c r="I11" i="25"/>
  <c r="J38" i="25" l="1"/>
  <c r="K14" i="25"/>
  <c r="J11" i="25"/>
  <c r="J37" i="25"/>
  <c r="K38" i="25" l="1"/>
  <c r="L14" i="25"/>
  <c r="K11" i="25"/>
  <c r="K37" i="25"/>
  <c r="L11" i="25" l="1"/>
  <c r="L37" i="25"/>
  <c r="L38" i="25"/>
  <c r="M14" i="25"/>
  <c r="M37" i="25" l="1"/>
  <c r="N14" i="25"/>
  <c r="M11" i="25"/>
  <c r="M38" i="25"/>
  <c r="D57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D25" i="24"/>
  <c r="G14" i="24"/>
  <c r="B11" i="24"/>
  <c r="AB10" i="24" s="1"/>
  <c r="A69" i="21"/>
  <c r="A61" i="21"/>
  <c r="A53" i="21"/>
  <c r="A45" i="21"/>
  <c r="A37" i="21"/>
  <c r="A29" i="21"/>
  <c r="A21" i="21"/>
  <c r="A13" i="21"/>
  <c r="A5" i="21"/>
  <c r="N38" i="25" l="1"/>
  <c r="O14" i="25"/>
  <c r="N11" i="25"/>
  <c r="N37" i="25"/>
  <c r="M10" i="24"/>
  <c r="E10" i="24"/>
  <c r="F11" i="24" s="1"/>
  <c r="S10" i="24"/>
  <c r="I10" i="24"/>
  <c r="H10" i="24"/>
  <c r="X10" i="24"/>
  <c r="T10" i="24"/>
  <c r="O10" i="24"/>
  <c r="Y10" i="24"/>
  <c r="K10" i="24"/>
  <c r="P10" i="24"/>
  <c r="U10" i="24"/>
  <c r="AA10" i="24"/>
  <c r="G10" i="24"/>
  <c r="L10" i="24"/>
  <c r="Q10" i="24"/>
  <c r="W10" i="24"/>
  <c r="G38" i="24"/>
  <c r="H14" i="24"/>
  <c r="Z10" i="24"/>
  <c r="V10" i="24"/>
  <c r="R10" i="24"/>
  <c r="N10" i="24"/>
  <c r="J10" i="24"/>
  <c r="F10" i="24"/>
  <c r="G37" i="24"/>
  <c r="D60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G14" i="23"/>
  <c r="G46" i="23" s="1"/>
  <c r="B11" i="23"/>
  <c r="AB10" i="23" s="1"/>
  <c r="O38" i="25" l="1"/>
  <c r="P14" i="25"/>
  <c r="O11" i="25"/>
  <c r="O37" i="25"/>
  <c r="G11" i="24"/>
  <c r="I14" i="24"/>
  <c r="H37" i="24"/>
  <c r="H38" i="24"/>
  <c r="H11" i="24"/>
  <c r="O10" i="23"/>
  <c r="H10" i="23"/>
  <c r="P10" i="23"/>
  <c r="X10" i="23"/>
  <c r="W10" i="23"/>
  <c r="K10" i="23"/>
  <c r="S10" i="23"/>
  <c r="AA10" i="23"/>
  <c r="G10" i="23"/>
  <c r="L10" i="23"/>
  <c r="T10" i="23"/>
  <c r="E10" i="23"/>
  <c r="I10" i="23"/>
  <c r="M10" i="23"/>
  <c r="Q10" i="23"/>
  <c r="U10" i="23"/>
  <c r="Y10" i="23"/>
  <c r="G45" i="23"/>
  <c r="F10" i="23"/>
  <c r="J10" i="23"/>
  <c r="N10" i="23"/>
  <c r="R10" i="23"/>
  <c r="V10" i="23"/>
  <c r="Z10" i="23"/>
  <c r="H14" i="23"/>
  <c r="D60" i="22"/>
  <c r="F59" i="22"/>
  <c r="D59" i="22"/>
  <c r="F58" i="22"/>
  <c r="D58" i="22"/>
  <c r="F57" i="22"/>
  <c r="D57" i="22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G14" i="22"/>
  <c r="H14" i="22" s="1"/>
  <c r="B11" i="22"/>
  <c r="AA10" i="22" s="1"/>
  <c r="P37" i="25" l="1"/>
  <c r="Q14" i="25"/>
  <c r="P38" i="25"/>
  <c r="P11" i="25"/>
  <c r="I37" i="24"/>
  <c r="I38" i="24"/>
  <c r="I11" i="24"/>
  <c r="J14" i="24"/>
  <c r="I14" i="23"/>
  <c r="H11" i="23"/>
  <c r="H45" i="23"/>
  <c r="H46" i="23"/>
  <c r="G11" i="23"/>
  <c r="F11" i="23"/>
  <c r="G58" i="22"/>
  <c r="H59" i="22"/>
  <c r="H58" i="22"/>
  <c r="I14" i="22"/>
  <c r="I58" i="22" s="1"/>
  <c r="G59" i="22"/>
  <c r="H10" i="22"/>
  <c r="M10" i="22"/>
  <c r="U10" i="22"/>
  <c r="F10" i="22"/>
  <c r="J10" i="22"/>
  <c r="P10" i="22"/>
  <c r="AB10" i="22"/>
  <c r="G10" i="22"/>
  <c r="K10" i="22"/>
  <c r="T10" i="22"/>
  <c r="E10" i="22"/>
  <c r="F11" i="22" s="1"/>
  <c r="I10" i="22"/>
  <c r="O10" i="22"/>
  <c r="X10" i="22"/>
  <c r="L10" i="22"/>
  <c r="Q10" i="22"/>
  <c r="Y10" i="22"/>
  <c r="N10" i="22"/>
  <c r="R10" i="22"/>
  <c r="V10" i="22"/>
  <c r="Z10" i="22"/>
  <c r="S10" i="22"/>
  <c r="W10" i="22"/>
  <c r="Q37" i="25" l="1"/>
  <c r="Q11" i="25"/>
  <c r="Q38" i="25"/>
  <c r="R14" i="25"/>
  <c r="J38" i="24"/>
  <c r="J37" i="24"/>
  <c r="J11" i="24"/>
  <c r="K14" i="24"/>
  <c r="I45" i="23"/>
  <c r="J14" i="23"/>
  <c r="I46" i="23"/>
  <c r="I11" i="23"/>
  <c r="G11" i="22"/>
  <c r="J14" i="22"/>
  <c r="J11" i="22" s="1"/>
  <c r="I59" i="22"/>
  <c r="I11" i="22"/>
  <c r="H11" i="22"/>
  <c r="K14" i="22"/>
  <c r="E18" i="7"/>
  <c r="D15" i="20"/>
  <c r="D15" i="16"/>
  <c r="C28" i="20"/>
  <c r="R38" i="25" l="1"/>
  <c r="S14" i="25"/>
  <c r="R11" i="25"/>
  <c r="R37" i="25"/>
  <c r="K38" i="24"/>
  <c r="L14" i="24"/>
  <c r="K11" i="24"/>
  <c r="K37" i="24"/>
  <c r="J46" i="23"/>
  <c r="J45" i="23"/>
  <c r="K14" i="23"/>
  <c r="J11" i="23"/>
  <c r="J58" i="22"/>
  <c r="J59" i="22"/>
  <c r="K59" i="22"/>
  <c r="K58" i="22"/>
  <c r="L14" i="22"/>
  <c r="K11" i="22"/>
  <c r="B17" i="7"/>
  <c r="B18" i="7" s="1"/>
  <c r="G4" i="20"/>
  <c r="D10" i="20" s="1"/>
  <c r="D11" i="20" s="1"/>
  <c r="B28" i="20"/>
  <c r="F28" i="20" s="1"/>
  <c r="E16" i="7"/>
  <c r="E17" i="7"/>
  <c r="E19" i="7"/>
  <c r="E20" i="7"/>
  <c r="D16" i="7"/>
  <c r="G14" i="19"/>
  <c r="H14" i="19" s="1"/>
  <c r="F22" i="7"/>
  <c r="F23" i="7" s="1"/>
  <c r="F24" i="7" s="1"/>
  <c r="F25" i="7" s="1"/>
  <c r="F26" i="7" s="1"/>
  <c r="F27" i="7" s="1"/>
  <c r="F28" i="7" s="1"/>
  <c r="F29" i="7" s="1"/>
  <c r="F30" i="7" s="1"/>
  <c r="B4" i="7"/>
  <c r="D4" i="7" s="1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AD10" i="16" s="1"/>
  <c r="F15" i="16"/>
  <c r="F16" i="16"/>
  <c r="F17" i="16"/>
  <c r="F18" i="16"/>
  <c r="E10" i="7"/>
  <c r="E9" i="7"/>
  <c r="E8" i="7"/>
  <c r="E7" i="7"/>
  <c r="E6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H59" i="16" s="1"/>
  <c r="Z10" i="16"/>
  <c r="V10" i="16"/>
  <c r="R10" i="16"/>
  <c r="J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8" i="16"/>
  <c r="S38" i="25" l="1"/>
  <c r="T14" i="25"/>
  <c r="S11" i="25"/>
  <c r="S37" i="25"/>
  <c r="M14" i="24"/>
  <c r="L37" i="24"/>
  <c r="L38" i="24"/>
  <c r="L11" i="24"/>
  <c r="K46" i="23"/>
  <c r="L14" i="23"/>
  <c r="K11" i="23"/>
  <c r="K45" i="23"/>
  <c r="L58" i="22"/>
  <c r="M14" i="22"/>
  <c r="L11" i="22"/>
  <c r="L59" i="22"/>
  <c r="N10" i="16"/>
  <c r="F10" i="16"/>
  <c r="AC10" i="16"/>
  <c r="Y10" i="16"/>
  <c r="U10" i="16"/>
  <c r="Q10" i="16"/>
  <c r="M10" i="16"/>
  <c r="I10" i="16"/>
  <c r="AA10" i="16"/>
  <c r="W10" i="16"/>
  <c r="S10" i="16"/>
  <c r="O10" i="16"/>
  <c r="K10" i="16"/>
  <c r="G10" i="16"/>
  <c r="AB10" i="16"/>
  <c r="X10" i="16"/>
  <c r="T10" i="16"/>
  <c r="P10" i="16"/>
  <c r="L10" i="16"/>
  <c r="H10" i="16"/>
  <c r="I14" i="16"/>
  <c r="E4" i="7"/>
  <c r="D17" i="7"/>
  <c r="E5" i="7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P30" i="20"/>
  <c r="H11" i="16"/>
  <c r="I11" i="16"/>
  <c r="D18" i="7"/>
  <c r="B19" i="7"/>
  <c r="G11" i="16"/>
  <c r="P33" i="20"/>
  <c r="P29" i="20"/>
  <c r="P28" i="20"/>
  <c r="P32" i="20"/>
  <c r="P31" i="20"/>
  <c r="Q29" i="20"/>
  <c r="Q31" i="20"/>
  <c r="Q33" i="20"/>
  <c r="Q28" i="20"/>
  <c r="Q30" i="20"/>
  <c r="Q32" i="20"/>
  <c r="T37" i="25" l="1"/>
  <c r="T38" i="25"/>
  <c r="T11" i="25"/>
  <c r="U14" i="25"/>
  <c r="M37" i="24"/>
  <c r="M38" i="24"/>
  <c r="N14" i="24"/>
  <c r="M11" i="24"/>
  <c r="M14" i="23"/>
  <c r="L11" i="23"/>
  <c r="L45" i="23"/>
  <c r="L46" i="23"/>
  <c r="D11" i="16"/>
  <c r="F13" i="16" s="1"/>
  <c r="M58" i="22"/>
  <c r="N14" i="22"/>
  <c r="M11" i="22"/>
  <c r="M59" i="22"/>
  <c r="I59" i="16"/>
  <c r="J14" i="16"/>
  <c r="I58" i="16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U37" i="25" l="1"/>
  <c r="U38" i="25"/>
  <c r="V14" i="25"/>
  <c r="U11" i="25"/>
  <c r="N38" i="24"/>
  <c r="N11" i="24"/>
  <c r="N37" i="24"/>
  <c r="O14" i="24"/>
  <c r="M45" i="23"/>
  <c r="M46" i="23"/>
  <c r="N14" i="23"/>
  <c r="M11" i="23"/>
  <c r="D13" i="16"/>
  <c r="R12" i="16" s="1"/>
  <c r="O14" i="22"/>
  <c r="N11" i="22"/>
  <c r="N59" i="22"/>
  <c r="N58" i="22"/>
  <c r="J59" i="16"/>
  <c r="K14" i="16"/>
  <c r="J58" i="16"/>
  <c r="J11" i="16"/>
  <c r="E30" i="20"/>
  <c r="F30" i="20"/>
  <c r="G30" i="20" s="1"/>
  <c r="B31" i="20"/>
  <c r="E31" i="20" s="1"/>
  <c r="K14" i="19"/>
  <c r="J61" i="19"/>
  <c r="J62" i="19"/>
  <c r="J11" i="19"/>
  <c r="K29" i="20"/>
  <c r="D20" i="7"/>
  <c r="V38" i="25" l="1"/>
  <c r="W14" i="25"/>
  <c r="V11" i="25"/>
  <c r="V37" i="25"/>
  <c r="O38" i="24"/>
  <c r="P14" i="24"/>
  <c r="O11" i="24"/>
  <c r="O37" i="24"/>
  <c r="N46" i="23"/>
  <c r="O14" i="23"/>
  <c r="N11" i="23"/>
  <c r="N45" i="23"/>
  <c r="AB12" i="16"/>
  <c r="N12" i="16"/>
  <c r="K12" i="16"/>
  <c r="P12" i="16"/>
  <c r="AD12" i="16"/>
  <c r="H12" i="16"/>
  <c r="T12" i="16"/>
  <c r="AC12" i="16"/>
  <c r="J12" i="16"/>
  <c r="O12" i="16"/>
  <c r="U12" i="16"/>
  <c r="F12" i="16"/>
  <c r="S12" i="16"/>
  <c r="AA12" i="16"/>
  <c r="G12" i="16"/>
  <c r="V12" i="16"/>
  <c r="Z12" i="16"/>
  <c r="L12" i="16"/>
  <c r="I12" i="16"/>
  <c r="Y12" i="16"/>
  <c r="Q12" i="16"/>
  <c r="X12" i="16"/>
  <c r="M12" i="16"/>
  <c r="W12" i="16"/>
  <c r="O59" i="22"/>
  <c r="O58" i="22"/>
  <c r="P14" i="22"/>
  <c r="O11" i="22"/>
  <c r="I31" i="20"/>
  <c r="K58" i="16"/>
  <c r="K59" i="16"/>
  <c r="K11" i="16"/>
  <c r="L14" i="16"/>
  <c r="B32" i="20"/>
  <c r="B33" i="20" s="1"/>
  <c r="F31" i="20"/>
  <c r="G31" i="20" s="1"/>
  <c r="K30" i="20"/>
  <c r="L14" i="19"/>
  <c r="K62" i="19"/>
  <c r="K11" i="19"/>
  <c r="K61" i="19"/>
  <c r="B22" i="7"/>
  <c r="H31" i="20" l="1"/>
  <c r="E32" i="20"/>
  <c r="E33" i="20" s="1"/>
  <c r="W38" i="25"/>
  <c r="X14" i="25"/>
  <c r="W11" i="25"/>
  <c r="W37" i="25"/>
  <c r="Q14" i="24"/>
  <c r="P11" i="24"/>
  <c r="P37" i="24"/>
  <c r="P38" i="24"/>
  <c r="O46" i="23"/>
  <c r="P14" i="23"/>
  <c r="O11" i="23"/>
  <c r="O45" i="23"/>
  <c r="P58" i="22"/>
  <c r="Q14" i="22"/>
  <c r="P11" i="22"/>
  <c r="P59" i="22"/>
  <c r="L58" i="16"/>
  <c r="L59" i="16"/>
  <c r="L11" i="16"/>
  <c r="M14" i="16"/>
  <c r="I32" i="20"/>
  <c r="F32" i="20"/>
  <c r="G32" i="20" s="1"/>
  <c r="K31" i="20"/>
  <c r="L62" i="19"/>
  <c r="L11" i="19"/>
  <c r="M14" i="19"/>
  <c r="L61" i="19"/>
  <c r="D22" i="7"/>
  <c r="B23" i="7"/>
  <c r="A22" i="7"/>
  <c r="E22" i="7" s="1"/>
  <c r="H32" i="20" l="1"/>
  <c r="N31" i="20"/>
  <c r="N32" i="20"/>
  <c r="F33" i="20"/>
  <c r="G33" i="20" s="1"/>
  <c r="N33" i="20"/>
  <c r="K32" i="20"/>
  <c r="I33" i="20"/>
  <c r="H33" i="20" s="1"/>
  <c r="X11" i="25"/>
  <c r="X37" i="25"/>
  <c r="Y14" i="25"/>
  <c r="X38" i="25"/>
  <c r="Q37" i="24"/>
  <c r="Q38" i="24"/>
  <c r="Q11" i="24"/>
  <c r="R14" i="24"/>
  <c r="Q14" i="23"/>
  <c r="P11" i="23"/>
  <c r="P45" i="23"/>
  <c r="P46" i="23"/>
  <c r="Q58" i="22"/>
  <c r="R14" i="22"/>
  <c r="Q11" i="22"/>
  <c r="Q59" i="22"/>
  <c r="N14" i="16"/>
  <c r="M58" i="16"/>
  <c r="M11" i="16"/>
  <c r="M59" i="16"/>
  <c r="K33" i="20"/>
  <c r="M11" i="19"/>
  <c r="M61" i="19"/>
  <c r="N14" i="19"/>
  <c r="M62" i="19"/>
  <c r="B24" i="7"/>
  <c r="A23" i="7"/>
  <c r="E23" i="7" s="1"/>
  <c r="D23" i="7"/>
  <c r="L33" i="20" l="1"/>
  <c r="L31" i="20"/>
  <c r="L32" i="20"/>
  <c r="N28" i="20"/>
  <c r="L28" i="20" s="1"/>
  <c r="M28" i="20" s="1"/>
  <c r="N29" i="20"/>
  <c r="L29" i="20" s="1"/>
  <c r="N30" i="20"/>
  <c r="L30" i="20" s="1"/>
  <c r="Y37" i="25"/>
  <c r="Y11" i="25"/>
  <c r="Z14" i="25"/>
  <c r="Y38" i="25"/>
  <c r="R38" i="24"/>
  <c r="S14" i="24"/>
  <c r="R37" i="24"/>
  <c r="R11" i="24"/>
  <c r="Q45" i="23"/>
  <c r="R14" i="23"/>
  <c r="Q46" i="23"/>
  <c r="Q11" i="23"/>
  <c r="S14" i="22"/>
  <c r="R11" i="22"/>
  <c r="R59" i="22"/>
  <c r="R58" i="22"/>
  <c r="N59" i="16"/>
  <c r="N58" i="16"/>
  <c r="O14" i="16"/>
  <c r="N11" i="16"/>
  <c r="N61" i="19"/>
  <c r="N62" i="19"/>
  <c r="N11" i="19"/>
  <c r="O14" i="19"/>
  <c r="G3" i="20"/>
  <c r="B25" i="7"/>
  <c r="D24" i="7"/>
  <c r="A24" i="7"/>
  <c r="E24" i="7" s="1"/>
  <c r="M30" i="20" l="1"/>
  <c r="M32" i="20"/>
  <c r="M33" i="20"/>
  <c r="M29" i="20"/>
  <c r="D12" i="20" s="1"/>
  <c r="M31" i="20"/>
  <c r="Z38" i="25"/>
  <c r="AA14" i="25"/>
  <c r="Z11" i="25"/>
  <c r="Z37" i="25"/>
  <c r="S38" i="24"/>
  <c r="T14" i="24"/>
  <c r="S11" i="24"/>
  <c r="S37" i="24"/>
  <c r="R46" i="23"/>
  <c r="R45" i="23"/>
  <c r="S14" i="23"/>
  <c r="R11" i="23"/>
  <c r="S59" i="22"/>
  <c r="S58" i="22"/>
  <c r="T14" i="22"/>
  <c r="S11" i="22"/>
  <c r="O58" i="16"/>
  <c r="O59" i="16"/>
  <c r="O11" i="16"/>
  <c r="P14" i="16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D22" i="20" l="1"/>
  <c r="G9" i="20"/>
  <c r="AA38" i="25"/>
  <c r="AB14" i="25"/>
  <c r="AA11" i="25"/>
  <c r="AA37" i="25"/>
  <c r="U14" i="24"/>
  <c r="T11" i="24"/>
  <c r="T37" i="24"/>
  <c r="T38" i="24"/>
  <c r="S46" i="23"/>
  <c r="T14" i="23"/>
  <c r="S11" i="23"/>
  <c r="S45" i="23"/>
  <c r="T58" i="22"/>
  <c r="U14" i="22"/>
  <c r="T11" i="22"/>
  <c r="T59" i="22"/>
  <c r="P58" i="16"/>
  <c r="P59" i="16"/>
  <c r="P11" i="16"/>
  <c r="Q14" i="16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AB37" i="25" l="1"/>
  <c r="AB38" i="25"/>
  <c r="AC14" i="25"/>
  <c r="AB11" i="25"/>
  <c r="U37" i="24"/>
  <c r="U38" i="24"/>
  <c r="V14" i="24"/>
  <c r="U11" i="24"/>
  <c r="U14" i="23"/>
  <c r="T11" i="23"/>
  <c r="T45" i="23"/>
  <c r="T46" i="23"/>
  <c r="U58" i="22"/>
  <c r="V14" i="22"/>
  <c r="U11" i="22"/>
  <c r="U59" i="22"/>
  <c r="R14" i="16"/>
  <c r="Q11" i="16"/>
  <c r="Q58" i="16"/>
  <c r="Q59" i="16"/>
  <c r="Q61" i="19"/>
  <c r="Q11" i="19"/>
  <c r="R14" i="19"/>
  <c r="Q62" i="19"/>
  <c r="D27" i="7"/>
  <c r="B28" i="7"/>
  <c r="A27" i="7"/>
  <c r="E27" i="7" s="1"/>
  <c r="AC55" i="25" l="1"/>
  <c r="AC53" i="25"/>
  <c r="AC50" i="25"/>
  <c r="AC48" i="25"/>
  <c r="AC46" i="25"/>
  <c r="AC44" i="25"/>
  <c r="AC37" i="25"/>
  <c r="AC24" i="25"/>
  <c r="AC22" i="25"/>
  <c r="AC20" i="25"/>
  <c r="AC18" i="25"/>
  <c r="AC16" i="25"/>
  <c r="AC21" i="25"/>
  <c r="AC17" i="25"/>
  <c r="AC56" i="25"/>
  <c r="AC54" i="25"/>
  <c r="AC52" i="25"/>
  <c r="AC49" i="25"/>
  <c r="AC47" i="25"/>
  <c r="AC45" i="25"/>
  <c r="AC38" i="25"/>
  <c r="AC36" i="25"/>
  <c r="AC35" i="25"/>
  <c r="AC34" i="25"/>
  <c r="AC33" i="25"/>
  <c r="AC32" i="25"/>
  <c r="AC31" i="25"/>
  <c r="AC30" i="25"/>
  <c r="AC29" i="25"/>
  <c r="AC28" i="25"/>
  <c r="AC27" i="25"/>
  <c r="AC26" i="25"/>
  <c r="AC25" i="25"/>
  <c r="AD14" i="25"/>
  <c r="AC11" i="25"/>
  <c r="AC23" i="25"/>
  <c r="AC19" i="25"/>
  <c r="V38" i="24"/>
  <c r="V37" i="24"/>
  <c r="V11" i="24"/>
  <c r="W14" i="24"/>
  <c r="U45" i="23"/>
  <c r="U46" i="23"/>
  <c r="V14" i="23"/>
  <c r="U11" i="23"/>
  <c r="W14" i="22"/>
  <c r="V11" i="22"/>
  <c r="V59" i="22"/>
  <c r="V58" i="22"/>
  <c r="R11" i="16"/>
  <c r="R58" i="16"/>
  <c r="S14" i="16"/>
  <c r="R59" i="16"/>
  <c r="R61" i="19"/>
  <c r="R62" i="19"/>
  <c r="S14" i="19"/>
  <c r="R11" i="19"/>
  <c r="D28" i="7"/>
  <c r="B29" i="7"/>
  <c r="A28" i="7"/>
  <c r="E28" i="7" s="1"/>
  <c r="AC10" i="25" l="1"/>
  <c r="AD24" i="25"/>
  <c r="AD22" i="25"/>
  <c r="AD20" i="25"/>
  <c r="AD18" i="25"/>
  <c r="AD16" i="25"/>
  <c r="AD56" i="25"/>
  <c r="AD54" i="25"/>
  <c r="AD52" i="25"/>
  <c r="AD49" i="25"/>
  <c r="AD47" i="25"/>
  <c r="AD45" i="25"/>
  <c r="AD38" i="25"/>
  <c r="AD36" i="25"/>
  <c r="AD35" i="25"/>
  <c r="AD34" i="25"/>
  <c r="AD33" i="25"/>
  <c r="AD32" i="25"/>
  <c r="AD31" i="25"/>
  <c r="AD30" i="25"/>
  <c r="AD29" i="25"/>
  <c r="AD28" i="25"/>
  <c r="AD27" i="25"/>
  <c r="AD26" i="25"/>
  <c r="AD25" i="25"/>
  <c r="AD11" i="25"/>
  <c r="AD53" i="25"/>
  <c r="AD50" i="25"/>
  <c r="AD46" i="25"/>
  <c r="AD23" i="25"/>
  <c r="AD21" i="25"/>
  <c r="AD19" i="25"/>
  <c r="AD17" i="25"/>
  <c r="AD55" i="25"/>
  <c r="AD48" i="25"/>
  <c r="AD44" i="25"/>
  <c r="AD37" i="25"/>
  <c r="W38" i="24"/>
  <c r="X14" i="24"/>
  <c r="W11" i="24"/>
  <c r="W37" i="24"/>
  <c r="V46" i="23"/>
  <c r="W14" i="23"/>
  <c r="V11" i="23"/>
  <c r="V45" i="23"/>
  <c r="W59" i="22"/>
  <c r="W58" i="22"/>
  <c r="X14" i="22"/>
  <c r="W11" i="22"/>
  <c r="S58" i="16"/>
  <c r="S59" i="16"/>
  <c r="S11" i="16"/>
  <c r="T14" i="16"/>
  <c r="S11" i="19"/>
  <c r="S62" i="19"/>
  <c r="S61" i="19"/>
  <c r="T14" i="19"/>
  <c r="A29" i="7"/>
  <c r="E29" i="7" s="1"/>
  <c r="D29" i="7"/>
  <c r="B30" i="7"/>
  <c r="AD10" i="25" l="1"/>
  <c r="D11" i="25" s="1"/>
  <c r="Y14" i="24"/>
  <c r="X11" i="24"/>
  <c r="X37" i="24"/>
  <c r="X38" i="24"/>
  <c r="W46" i="23"/>
  <c r="X14" i="23"/>
  <c r="W11" i="23"/>
  <c r="W45" i="23"/>
  <c r="X58" i="22"/>
  <c r="Y14" i="22"/>
  <c r="X11" i="22"/>
  <c r="X59" i="22"/>
  <c r="T58" i="16"/>
  <c r="T59" i="16"/>
  <c r="T11" i="16"/>
  <c r="U14" i="16"/>
  <c r="T61" i="19"/>
  <c r="T62" i="19"/>
  <c r="U14" i="19"/>
  <c r="T11" i="19"/>
  <c r="A30" i="7"/>
  <c r="E30" i="7" s="1"/>
  <c r="D30" i="7"/>
  <c r="F13" i="25" l="1"/>
  <c r="D13" i="25"/>
  <c r="Y37" i="24"/>
  <c r="Y38" i="24"/>
  <c r="Y11" i="24"/>
  <c r="Z14" i="24"/>
  <c r="Y14" i="23"/>
  <c r="X11" i="23"/>
  <c r="X45" i="23"/>
  <c r="X46" i="23"/>
  <c r="Y58" i="22"/>
  <c r="Z14" i="22"/>
  <c r="Y11" i="22"/>
  <c r="Y59" i="22"/>
  <c r="V14" i="16"/>
  <c r="U11" i="16"/>
  <c r="U58" i="16"/>
  <c r="U59" i="16"/>
  <c r="U11" i="19"/>
  <c r="U61" i="19"/>
  <c r="V14" i="19"/>
  <c r="U62" i="19"/>
  <c r="AD12" i="25" l="1"/>
  <c r="L12" i="25"/>
  <c r="T12" i="25"/>
  <c r="S12" i="25"/>
  <c r="I12" i="25"/>
  <c r="Y12" i="25"/>
  <c r="P12" i="25"/>
  <c r="R12" i="25"/>
  <c r="O12" i="25"/>
  <c r="AB12" i="25"/>
  <c r="H12" i="25"/>
  <c r="M12" i="25"/>
  <c r="AC12" i="25"/>
  <c r="F12" i="25"/>
  <c r="V12" i="25"/>
  <c r="W12" i="25"/>
  <c r="G12" i="25"/>
  <c r="X12" i="25"/>
  <c r="Q12" i="25"/>
  <c r="K12" i="25"/>
  <c r="J12" i="25"/>
  <c r="Z12" i="25"/>
  <c r="U12" i="25"/>
  <c r="AA12" i="25"/>
  <c r="N12" i="25"/>
  <c r="Z38" i="24"/>
  <c r="Z37" i="24"/>
  <c r="AA14" i="24"/>
  <c r="Z11" i="24"/>
  <c r="Y45" i="23"/>
  <c r="Y11" i="23"/>
  <c r="Y46" i="23"/>
  <c r="Z14" i="23"/>
  <c r="AA14" i="22"/>
  <c r="Z11" i="22"/>
  <c r="Z59" i="22"/>
  <c r="Z58" i="22"/>
  <c r="V11" i="16"/>
  <c r="V58" i="16"/>
  <c r="W14" i="16"/>
  <c r="V59" i="16"/>
  <c r="V61" i="19"/>
  <c r="V62" i="19"/>
  <c r="V11" i="19"/>
  <c r="W14" i="19"/>
  <c r="AA38" i="24" l="1"/>
  <c r="AB14" i="24"/>
  <c r="AA11" i="24"/>
  <c r="AA37" i="24"/>
  <c r="Z46" i="23"/>
  <c r="Z45" i="23"/>
  <c r="AA14" i="23"/>
  <c r="Z11" i="23"/>
  <c r="AA59" i="22"/>
  <c r="AA58" i="22"/>
  <c r="AB14" i="22"/>
  <c r="AA11" i="22"/>
  <c r="W58" i="16"/>
  <c r="W59" i="16"/>
  <c r="W11" i="16"/>
  <c r="X14" i="16"/>
  <c r="W62" i="19"/>
  <c r="W11" i="19"/>
  <c r="X14" i="19"/>
  <c r="W61" i="19"/>
  <c r="AC14" i="24" l="1"/>
  <c r="AB11" i="24"/>
  <c r="AB37" i="24"/>
  <c r="AB38" i="24"/>
  <c r="AA46" i="23"/>
  <c r="AB14" i="23"/>
  <c r="AA11" i="23"/>
  <c r="AA45" i="23"/>
  <c r="AB58" i="22"/>
  <c r="AC14" i="22"/>
  <c r="AB11" i="22"/>
  <c r="AB59" i="22"/>
  <c r="X58" i="16"/>
  <c r="X11" i="16"/>
  <c r="X59" i="16"/>
  <c r="Y14" i="16"/>
  <c r="X61" i="19"/>
  <c r="X62" i="19"/>
  <c r="Y14" i="19"/>
  <c r="X11" i="19"/>
  <c r="AC55" i="24" l="1"/>
  <c r="AC53" i="24"/>
  <c r="AC50" i="24"/>
  <c r="AC48" i="24"/>
  <c r="AC46" i="24"/>
  <c r="AC44" i="24"/>
  <c r="AC37" i="24"/>
  <c r="AC56" i="24"/>
  <c r="AC54" i="24"/>
  <c r="AC52" i="24"/>
  <c r="AC49" i="24"/>
  <c r="AC47" i="24"/>
  <c r="AC45" i="24"/>
  <c r="AC38" i="24"/>
  <c r="AC36" i="24"/>
  <c r="AC32" i="24"/>
  <c r="AC28" i="24"/>
  <c r="AC24" i="24"/>
  <c r="AC20" i="24"/>
  <c r="AC16" i="24"/>
  <c r="AD14" i="24"/>
  <c r="AC33" i="24"/>
  <c r="AC29" i="24"/>
  <c r="AC25" i="24"/>
  <c r="AC21" i="24"/>
  <c r="AC17" i="24"/>
  <c r="AC34" i="24"/>
  <c r="AC30" i="24"/>
  <c r="AC26" i="24"/>
  <c r="AC22" i="24"/>
  <c r="AC18" i="24"/>
  <c r="AC11" i="24"/>
  <c r="AC35" i="24"/>
  <c r="AC31" i="24"/>
  <c r="AC27" i="24"/>
  <c r="AC23" i="24"/>
  <c r="AC19" i="24"/>
  <c r="AC14" i="23"/>
  <c r="AB11" i="23"/>
  <c r="AB45" i="23"/>
  <c r="AB46" i="23"/>
  <c r="AC58" i="22"/>
  <c r="AC35" i="22"/>
  <c r="AC33" i="22"/>
  <c r="AC30" i="22"/>
  <c r="AC28" i="22"/>
  <c r="AC26" i="22"/>
  <c r="AC24" i="22"/>
  <c r="AC22" i="22"/>
  <c r="AC18" i="22"/>
  <c r="AD14" i="22"/>
  <c r="AC11" i="22"/>
  <c r="AC59" i="22"/>
  <c r="AC57" i="22"/>
  <c r="AC56" i="22"/>
  <c r="AC55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4" i="22"/>
  <c r="AC32" i="22"/>
  <c r="AC29" i="22"/>
  <c r="AC27" i="22"/>
  <c r="AC25" i="22"/>
  <c r="AC23" i="22"/>
  <c r="AC20" i="22"/>
  <c r="AC19" i="22"/>
  <c r="Z14" i="16"/>
  <c r="Y58" i="16"/>
  <c r="Y11" i="16"/>
  <c r="Y59" i="16"/>
  <c r="Y11" i="19"/>
  <c r="Y61" i="19"/>
  <c r="Z14" i="19"/>
  <c r="Y62" i="19"/>
  <c r="AC10" i="24" l="1"/>
  <c r="AD56" i="24"/>
  <c r="AD54" i="24"/>
  <c r="AD52" i="24"/>
  <c r="AD49" i="24"/>
  <c r="AD47" i="24"/>
  <c r="AD45" i="24"/>
  <c r="AD38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48" i="24"/>
  <c r="AD55" i="24"/>
  <c r="AD46" i="24"/>
  <c r="AD11" i="24"/>
  <c r="AD53" i="24"/>
  <c r="AD44" i="24"/>
  <c r="AD50" i="24"/>
  <c r="AD37" i="24"/>
  <c r="AC45" i="23"/>
  <c r="AC58" i="23"/>
  <c r="AC56" i="23"/>
  <c r="AC53" i="23"/>
  <c r="AC51" i="23"/>
  <c r="AC49" i="23"/>
  <c r="AC47" i="23"/>
  <c r="AC22" i="23"/>
  <c r="AC19" i="23"/>
  <c r="AD14" i="23"/>
  <c r="AC11" i="23"/>
  <c r="AC46" i="23"/>
  <c r="AC44" i="23"/>
  <c r="AC43" i="23"/>
  <c r="AC42" i="23"/>
  <c r="AC41" i="23"/>
  <c r="AC40" i="23"/>
  <c r="AC39" i="23"/>
  <c r="AC38" i="23"/>
  <c r="AC37" i="23"/>
  <c r="AC36" i="23"/>
  <c r="AC35" i="23"/>
  <c r="AC34" i="23"/>
  <c r="AC33" i="23"/>
  <c r="AC32" i="23"/>
  <c r="AC31" i="23"/>
  <c r="AC30" i="23"/>
  <c r="AC29" i="23"/>
  <c r="AC28" i="23"/>
  <c r="AC27" i="23"/>
  <c r="AC26" i="23"/>
  <c r="AC25" i="23"/>
  <c r="AC24" i="23"/>
  <c r="AC59" i="23"/>
  <c r="AC57" i="23"/>
  <c r="AC55" i="23"/>
  <c r="AC52" i="23"/>
  <c r="AC50" i="23"/>
  <c r="AC48" i="23"/>
  <c r="AC23" i="23"/>
  <c r="AC20" i="23"/>
  <c r="AC18" i="23"/>
  <c r="AC10" i="22"/>
  <c r="AD11" i="22"/>
  <c r="AD59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4" i="22"/>
  <c r="AD32" i="22"/>
  <c r="AD29" i="22"/>
  <c r="AD27" i="22"/>
  <c r="AD25" i="22"/>
  <c r="AD23" i="22"/>
  <c r="AD20" i="22"/>
  <c r="AD19" i="22"/>
  <c r="AD58" i="22"/>
  <c r="AD35" i="22"/>
  <c r="AD33" i="22"/>
  <c r="AD30" i="22"/>
  <c r="AD28" i="22"/>
  <c r="AD26" i="22"/>
  <c r="AD24" i="22"/>
  <c r="AD22" i="22"/>
  <c r="AD18" i="22"/>
  <c r="Z11" i="16"/>
  <c r="AA14" i="16"/>
  <c r="Z58" i="16"/>
  <c r="Z59" i="16"/>
  <c r="Z61" i="19"/>
  <c r="Z62" i="19"/>
  <c r="AA14" i="19"/>
  <c r="Z11" i="19"/>
  <c r="AD10" i="24" l="1"/>
  <c r="D11" i="24" s="1"/>
  <c r="AC10" i="23"/>
  <c r="AD46" i="23"/>
  <c r="AD44" i="23"/>
  <c r="AD43" i="23"/>
  <c r="AD42" i="23"/>
  <c r="AD41" i="23"/>
  <c r="AD40" i="23"/>
  <c r="AD39" i="23"/>
  <c r="AD38" i="23"/>
  <c r="AD37" i="23"/>
  <c r="AD36" i="23"/>
  <c r="AD35" i="23"/>
  <c r="AD34" i="23"/>
  <c r="AD33" i="23"/>
  <c r="AD32" i="23"/>
  <c r="AD31" i="23"/>
  <c r="AD30" i="23"/>
  <c r="AD29" i="23"/>
  <c r="AD28" i="23"/>
  <c r="AD27" i="23"/>
  <c r="AD26" i="23"/>
  <c r="AD25" i="23"/>
  <c r="AD24" i="23"/>
  <c r="AD59" i="23"/>
  <c r="AD57" i="23"/>
  <c r="AD55" i="23"/>
  <c r="AD52" i="23"/>
  <c r="AD50" i="23"/>
  <c r="AD48" i="23"/>
  <c r="AD23" i="23"/>
  <c r="AD20" i="23"/>
  <c r="AD18" i="23"/>
  <c r="AD53" i="23"/>
  <c r="AD49" i="23"/>
  <c r="AD22" i="23"/>
  <c r="AD11" i="23"/>
  <c r="AD45" i="23"/>
  <c r="AD58" i="23"/>
  <c r="AD56" i="23"/>
  <c r="AD51" i="23"/>
  <c r="AD47" i="23"/>
  <c r="AD19" i="23"/>
  <c r="AD10" i="22"/>
  <c r="D11" i="22" s="1"/>
  <c r="AA58" i="16"/>
  <c r="AA11" i="16"/>
  <c r="AB14" i="16"/>
  <c r="AA59" i="16"/>
  <c r="AA62" i="19"/>
  <c r="AA11" i="19"/>
  <c r="AA61" i="19"/>
  <c r="AB14" i="19"/>
  <c r="D13" i="24" l="1"/>
  <c r="F13" i="24"/>
  <c r="AD10" i="23"/>
  <c r="D11" i="23" s="1"/>
  <c r="D13" i="23" s="1"/>
  <c r="F13" i="22"/>
  <c r="D13" i="22"/>
  <c r="AB58" i="16"/>
  <c r="AB11" i="16"/>
  <c r="AB59" i="16"/>
  <c r="AC14" i="16"/>
  <c r="AB11" i="19"/>
  <c r="AB62" i="19"/>
  <c r="AC14" i="19"/>
  <c r="AB61" i="19"/>
  <c r="L12" i="24" l="1"/>
  <c r="R12" i="24"/>
  <c r="T12" i="24"/>
  <c r="O12" i="24"/>
  <c r="U12" i="24"/>
  <c r="I12" i="24"/>
  <c r="AC12" i="24"/>
  <c r="X12" i="24"/>
  <c r="AD12" i="24"/>
  <c r="S12" i="24"/>
  <c r="N12" i="24"/>
  <c r="G12" i="24"/>
  <c r="Q12" i="24"/>
  <c r="AB12" i="24"/>
  <c r="H12" i="24"/>
  <c r="F12" i="24"/>
  <c r="V12" i="24"/>
  <c r="K12" i="24"/>
  <c r="AA12" i="24"/>
  <c r="W12" i="24"/>
  <c r="Y12" i="24"/>
  <c r="M12" i="24"/>
  <c r="P12" i="24"/>
  <c r="J12" i="24"/>
  <c r="Z12" i="24"/>
  <c r="F13" i="23"/>
  <c r="O12" i="23" s="1"/>
  <c r="AC12" i="22"/>
  <c r="R12" i="22"/>
  <c r="F12" i="22"/>
  <c r="Z12" i="22"/>
  <c r="W12" i="22"/>
  <c r="P12" i="22"/>
  <c r="J12" i="22"/>
  <c r="G12" i="22"/>
  <c r="AA12" i="22"/>
  <c r="AB12" i="22"/>
  <c r="K12" i="22"/>
  <c r="V12" i="22"/>
  <c r="O12" i="22"/>
  <c r="L12" i="22"/>
  <c r="Q12" i="22"/>
  <c r="U12" i="22"/>
  <c r="T12" i="22"/>
  <c r="I12" i="22"/>
  <c r="Y12" i="22"/>
  <c r="N12" i="22"/>
  <c r="AD12" i="22"/>
  <c r="S12" i="22"/>
  <c r="H12" i="22"/>
  <c r="X12" i="22"/>
  <c r="M12" i="22"/>
  <c r="AC18" i="16"/>
  <c r="AC21" i="16"/>
  <c r="AC25" i="16"/>
  <c r="AC29" i="16"/>
  <c r="AC33" i="16"/>
  <c r="AC37" i="16"/>
  <c r="AC41" i="16"/>
  <c r="AC45" i="16"/>
  <c r="AC49" i="16"/>
  <c r="AC53" i="16"/>
  <c r="AC57" i="16"/>
  <c r="AC11" i="16"/>
  <c r="AC34" i="16"/>
  <c r="AC46" i="16"/>
  <c r="AC54" i="16"/>
  <c r="AC16" i="16"/>
  <c r="AC22" i="16"/>
  <c r="AC26" i="16"/>
  <c r="AC30" i="16"/>
  <c r="AC38" i="16"/>
  <c r="AC42" i="16"/>
  <c r="AC50" i="16"/>
  <c r="AC59" i="16"/>
  <c r="AC32" i="16"/>
  <c r="AC56" i="16"/>
  <c r="AC19" i="16"/>
  <c r="AC27" i="16"/>
  <c r="AC35" i="16"/>
  <c r="AC43" i="16"/>
  <c r="AC51" i="16"/>
  <c r="AD14" i="16"/>
  <c r="AC31" i="16"/>
  <c r="AC47" i="16"/>
  <c r="AC24" i="16"/>
  <c r="AC40" i="16"/>
  <c r="AC20" i="16"/>
  <c r="AC28" i="16"/>
  <c r="AC36" i="16"/>
  <c r="AC44" i="16"/>
  <c r="AC52" i="16"/>
  <c r="AC58" i="16"/>
  <c r="AC23" i="16"/>
  <c r="AC39" i="16"/>
  <c r="AC55" i="16"/>
  <c r="AC17" i="16"/>
  <c r="AC48" i="16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AA12" i="23" l="1"/>
  <c r="L12" i="23"/>
  <c r="Q12" i="23"/>
  <c r="K12" i="23"/>
  <c r="V12" i="23"/>
  <c r="P12" i="23"/>
  <c r="N12" i="23"/>
  <c r="R12" i="23"/>
  <c r="AB12" i="23"/>
  <c r="Y12" i="23"/>
  <c r="X12" i="23"/>
  <c r="AC12" i="23"/>
  <c r="U12" i="23"/>
  <c r="Z12" i="23"/>
  <c r="T12" i="23"/>
  <c r="M12" i="23"/>
  <c r="W12" i="23"/>
  <c r="H12" i="23"/>
  <c r="J12" i="23"/>
  <c r="AD12" i="23"/>
  <c r="F12" i="23"/>
  <c r="S12" i="23"/>
  <c r="G12" i="23"/>
  <c r="I12" i="23"/>
  <c r="AD17" i="16"/>
  <c r="AD22" i="16"/>
  <c r="AD38" i="16"/>
  <c r="AD54" i="16"/>
  <c r="AD33" i="16"/>
  <c r="AD49" i="16"/>
  <c r="AD24" i="16"/>
  <c r="AD40" i="16"/>
  <c r="AD56" i="16"/>
  <c r="AD31" i="16"/>
  <c r="AD47" i="16"/>
  <c r="AD58" i="16"/>
  <c r="AD26" i="16"/>
  <c r="AD21" i="16"/>
  <c r="AD53" i="16"/>
  <c r="AD19" i="16"/>
  <c r="AD51" i="16"/>
  <c r="AD42" i="16"/>
  <c r="AD37" i="16"/>
  <c r="AD28" i="16"/>
  <c r="AD44" i="16"/>
  <c r="AD35" i="16"/>
  <c r="AD45" i="16"/>
  <c r="AD27" i="16"/>
  <c r="AD30" i="16"/>
  <c r="AD25" i="16"/>
  <c r="AD57" i="16"/>
  <c r="AD48" i="16"/>
  <c r="AD39" i="16"/>
  <c r="AD18" i="16"/>
  <c r="AD41" i="16"/>
  <c r="AD23" i="16"/>
  <c r="AD55" i="16"/>
  <c r="AD50" i="16"/>
  <c r="AD16" i="16"/>
  <c r="AD34" i="16"/>
  <c r="AD29" i="16"/>
  <c r="AD20" i="16"/>
  <c r="AD52" i="16"/>
  <c r="AD43" i="16"/>
  <c r="AD46" i="16"/>
  <c r="AD32" i="16"/>
  <c r="AD11" i="16"/>
  <c r="AD36" i="16"/>
  <c r="AD59" i="16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AD10" i="19" l="1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D960CF64-90F1-4A5C-B4F2-3651E5E9FF49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506D03A0-7E4D-401E-A8FB-421A73967F1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4C533C54-D7FB-40B1-9BE9-D66732ADEBC7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FDE20C29-808F-4C02-B2FC-05CE843F6D7B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<sst xmlns="http://schemas.openxmlformats.org/spreadsheetml/2006/main" count="484" uniqueCount="173">
  <si>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</si>
  <si>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</si>
  <si>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</si>
  <si>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</si>
  <si>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</si>
  <si>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</si>
  <si>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</si>
  <si>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</si>
  <si>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</si>
  <si>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</si>
  <si>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</si>
  <si>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</si>
  <si>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</si>
  <si>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</si>
  <si>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</si>
  <si>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</si>
  <si>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</si>
  <si>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</si>
  <si>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</si>
  <si>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</si>
  <si>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</si>
  <si>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</si>
  <si>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</si>
  <si>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</si>
  <si>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</si>
  <si>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</si>
  <si>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</si>
  <si>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</si>
  <si>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</si>
  <si>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</si>
  <si>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</si>
  <si>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</si>
  <si>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</si>
  <si>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</si>
  <si>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</si>
  <si>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</si>
  <si>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</si>
  <si>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</si>
  <si>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</si>
  <si>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</si>
  <si>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</si>
  <si>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</si>
  <si>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</si>
  <si>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</si>
  <si>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</si>
  <si>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</si>
  <si>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</si>
  <si>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</si>
  <si>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</si>
  <si>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</si>
  <si>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</si>
  <si>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</si>
  <si>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</si>
  <si>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</si>
  <si>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</si>
  <si>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</si>
  <si>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</si>
  <si>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</si>
  <si>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</si>
  <si>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</si>
  <si>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</si>
  <si>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</si>
  <si>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</si>
  <si>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</si>
  <si>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</si>
  <si>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</si>
  <si>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</si>
  <si>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</si>
  <si>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</si>
  <si>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</si>
  <si>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</si>
  <si>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</si>
  <si>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</si>
  <si>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</si>
  <si>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</si>
  <si>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Priority</t>
  </si>
  <si>
    <t>Planning</t>
  </si>
  <si>
    <t xml:space="preserve"> </t>
  </si>
  <si>
    <t>Done</t>
  </si>
  <si>
    <t>Ongoing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</si>
  <si>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</si>
  <si>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</si>
  <si>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</si>
  <si>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</si>
  <si>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</si>
  <si>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</si>
  <si>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</si>
  <si>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</si>
  <si>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</si>
  <si>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</si>
  <si>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</si>
  <si>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</si>
  <si>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</si>
  <si>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</si>
  <si>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</si>
  <si>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</si>
  <si>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</si>
  <si>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</si>
  <si>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</si>
  <si>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</si>
  <si>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</si>
  <si>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</si>
  <si>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</si>
  <si>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</si>
  <si>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</si>
  <si>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</si>
  <si>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</si>
  <si>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</si>
  <si>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</si>
  <si>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</si>
  <si>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</si>
  <si>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</si>
  <si>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</si>
  <si>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</si>
  <si>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</si>
  <si>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</si>
  <si>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</si>
  <si>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</si>
  <si>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</si>
  <si>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</si>
  <si>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</si>
  <si>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</si>
  <si>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Diagrama de Base de datos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</si>
  <si>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</si>
  <si>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</si>
  <si>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</si>
  <si>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</si>
  <si>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</si>
  <si>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Nombre de tarea</t>
  </si>
  <si>
    <t>Id. HU</t>
  </si>
  <si>
    <t>Responsable</t>
  </si>
  <si>
    <t>Total</t>
  </si>
  <si>
    <t>Esfue.</t>
  </si>
  <si>
    <t>Días restantes para implementacion</t>
  </si>
  <si>
    <t>Días de implementación del Sprint</t>
  </si>
  <si>
    <t>Tendencia en base al ultimo</t>
  </si>
  <si>
    <t>Creacción de consultas SQL</t>
  </si>
  <si>
    <t>Creacción tablas de datos</t>
  </si>
  <si>
    <t>Mockup de visualización</t>
  </si>
  <si>
    <t>Comprobación de integridad de los datos</t>
  </si>
  <si>
    <t>Modificación Modulo JSP</t>
  </si>
  <si>
    <t>Testing de modulo</t>
  </si>
  <si>
    <t>Creaccion de diagrama de clases</t>
  </si>
  <si>
    <t>Creación de consultas SQL</t>
  </si>
  <si>
    <t>Añadir soporte Data Forms</t>
  </si>
  <si>
    <t>Añadir soporte Feature answer</t>
  </si>
  <si>
    <t>Handler GET</t>
  </si>
  <si>
    <t>Handler SET</t>
  </si>
  <si>
    <t>Handler REMOVE</t>
  </si>
  <si>
    <t>Creación de cliente para pruebas funcionales</t>
  </si>
  <si>
    <t>Creacción de algoritmo de firmado</t>
  </si>
  <si>
    <t>Analisis de paquetes y clases responsables del registro</t>
  </si>
  <si>
    <t>Crear parser de Data Forms</t>
  </si>
  <si>
    <t>Crear soporte de Data Forms</t>
  </si>
  <si>
    <t>Creación de algoritmo de firmado</t>
  </si>
  <si>
    <t>Creación de pruebas</t>
  </si>
  <si>
    <t>Añadir respuesta de Features</t>
  </si>
  <si>
    <t>Modificación de RegistrerProvider</t>
  </si>
  <si>
    <t>Modificación de Register</t>
  </si>
  <si>
    <t>Modificación de AccountMannager</t>
  </si>
  <si>
    <t>Refactorización</t>
  </si>
  <si>
    <t>Implementación de red XMPP-IoT OF0348</t>
  </si>
  <si>
    <t>Removed</t>
  </si>
  <si>
    <t>Configuración electronica</t>
  </si>
  <si>
    <t>Codificación librería Firmdata</t>
  </si>
  <si>
    <t>Pruebas de sistemas</t>
  </si>
  <si>
    <t xml:space="preserve">Refactorización </t>
  </si>
  <si>
    <t>Codificación de modulo actuador</t>
  </si>
  <si>
    <t>Codificación de módulo sensor</t>
  </si>
  <si>
    <t>Codificación de modulo bot malicioso</t>
  </si>
  <si>
    <t>Diagrama de secuencia registro de thing</t>
  </si>
  <si>
    <t>Diagrama de secuencia lectura de sensor</t>
  </si>
  <si>
    <t>Diagrama de secuencia escritura de actuador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</si>
</sst>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11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6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287</c:v>
                </c:pt>
                <c:pt idx="4">
                  <c:v>187</c:v>
                </c:pt>
                <c:pt idx="5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6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287</c:v>
                </c:pt>
                <c:pt idx="4">
                  <c:v>187</c:v>
                </c:pt>
                <c:pt idx="5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6"/>
                <c:pt idx="0">
                  <c:v>526</c:v>
                </c:pt>
                <c:pt idx="1">
                  <c:v>444</c:v>
                </c:pt>
                <c:pt idx="2">
                  <c:v>362</c:v>
                </c:pt>
                <c:pt idx="3">
                  <c:v>280</c:v>
                </c:pt>
                <c:pt idx="4">
                  <c:v>198</c:v>
                </c:pt>
                <c:pt idx="5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6"/>
                <c:pt idx="0">
                  <c:v>55</c:v>
                </c:pt>
                <c:pt idx="1">
                  <c:v>55</c:v>
                </c:pt>
                <c:pt idx="2">
                  <c:v>89</c:v>
                </c:pt>
                <c:pt idx="3">
                  <c:v>89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6"/>
                <c:pt idx="0">
                  <c:v>55</c:v>
                </c:pt>
                <c:pt idx="1">
                  <c:v>55</c:v>
                </c:pt>
                <c:pt idx="2">
                  <c:v>90</c:v>
                </c:pt>
                <c:pt idx="3">
                  <c:v>100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6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6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56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49</c:v>
                </c:pt>
                <c:pt idx="1">
                  <c:v>44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24</c:v>
                </c:pt>
                <c:pt idx="8">
                  <c:v>21</c:v>
                </c:pt>
                <c:pt idx="9">
                  <c:v>13</c:v>
                </c:pt>
                <c:pt idx="10">
                  <c:v>8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50.416666666666664</c:v>
                </c:pt>
                <c:pt idx="2">
                  <c:v>45.833333333333336</c:v>
                </c:pt>
                <c:pt idx="3">
                  <c:v>41.25</c:v>
                </c:pt>
                <c:pt idx="4">
                  <c:v>36.666666666666671</c:v>
                </c:pt>
                <c:pt idx="5">
                  <c:v>32.083333333333336</c:v>
                </c:pt>
                <c:pt idx="6">
                  <c:v>27.5</c:v>
                </c:pt>
                <c:pt idx="7">
                  <c:v>22.916666666666671</c:v>
                </c:pt>
                <c:pt idx="8">
                  <c:v>18.333333333333336</c:v>
                </c:pt>
                <c:pt idx="9">
                  <c:v>13.75</c:v>
                </c:pt>
                <c:pt idx="10">
                  <c:v>9.1666666666666714</c:v>
                </c:pt>
                <c:pt idx="11">
                  <c:v>4.5833333333333357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2-4C3B-B35A-4B289630CB1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72</c:v>
                </c:pt>
                <c:pt idx="1">
                  <c:v>68</c:v>
                </c:pt>
                <c:pt idx="2">
                  <c:v>63</c:v>
                </c:pt>
                <c:pt idx="3">
                  <c:v>60</c:v>
                </c:pt>
                <c:pt idx="4">
                  <c:v>55</c:v>
                </c:pt>
                <c:pt idx="5">
                  <c:v>47</c:v>
                </c:pt>
                <c:pt idx="6">
                  <c:v>0</c:v>
                </c:pt>
                <c:pt idx="7">
                  <c:v>42</c:v>
                </c:pt>
                <c:pt idx="8">
                  <c:v>37</c:v>
                </c:pt>
                <c:pt idx="9">
                  <c:v>31</c:v>
                </c:pt>
                <c:pt idx="10">
                  <c:v>25</c:v>
                </c:pt>
                <c:pt idx="11">
                  <c:v>17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6-45E1-91C2-33E43A66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74</c:v>
                </c:pt>
                <c:pt idx="1">
                  <c:v>68.714285714285708</c:v>
                </c:pt>
                <c:pt idx="2">
                  <c:v>63.428571428571431</c:v>
                </c:pt>
                <c:pt idx="3">
                  <c:v>58.142857142857139</c:v>
                </c:pt>
                <c:pt idx="4">
                  <c:v>52.857142857142861</c:v>
                </c:pt>
                <c:pt idx="5">
                  <c:v>47.571428571428569</c:v>
                </c:pt>
                <c:pt idx="6">
                  <c:v>42.285714285714285</c:v>
                </c:pt>
                <c:pt idx="7">
                  <c:v>37</c:v>
                </c:pt>
                <c:pt idx="8">
                  <c:v>31.714285714285715</c:v>
                </c:pt>
                <c:pt idx="9">
                  <c:v>26.428571428571431</c:v>
                </c:pt>
                <c:pt idx="10">
                  <c:v>21.142857142857146</c:v>
                </c:pt>
                <c:pt idx="11">
                  <c:v>15.857142857142861</c:v>
                </c:pt>
                <c:pt idx="12">
                  <c:v>10.571428571428569</c:v>
                </c:pt>
                <c:pt idx="13">
                  <c:v>5.2857142857142918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6-45E1-91C2-33E43A66C1A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6-45E1-91C2-33E43A66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'Sp4'!$F$10:$AD$10</c:f>
              <c:numCache>
                <c:formatCode>General</c:formatCode>
                <c:ptCount val="25"/>
                <c:pt idx="0">
                  <c:v>56</c:v>
                </c:pt>
                <c:pt idx="1">
                  <c:v>55</c:v>
                </c:pt>
                <c:pt idx="2">
                  <c:v>47</c:v>
                </c:pt>
                <c:pt idx="3">
                  <c:v>43</c:v>
                </c:pt>
                <c:pt idx="4">
                  <c:v>39</c:v>
                </c:pt>
                <c:pt idx="5">
                  <c:v>35</c:v>
                </c:pt>
                <c:pt idx="6">
                  <c:v>35</c:v>
                </c:pt>
                <c:pt idx="7">
                  <c:v>30</c:v>
                </c:pt>
                <c:pt idx="8">
                  <c:v>26</c:v>
                </c:pt>
                <c:pt idx="9">
                  <c:v>21</c:v>
                </c:pt>
                <c:pt idx="10">
                  <c:v>15</c:v>
                </c:pt>
                <c:pt idx="11">
                  <c:v>12</c:v>
                </c:pt>
                <c:pt idx="12">
                  <c:v>7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8-493C-B467-10454BD3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'Sp4'!$F$11:$AD$11</c:f>
              <c:numCache>
                <c:formatCode>General</c:formatCode>
                <c:ptCount val="25"/>
                <c:pt idx="0">
                  <c:v>60</c:v>
                </c:pt>
                <c:pt idx="1">
                  <c:v>55.714285714285715</c:v>
                </c:pt>
                <c:pt idx="2">
                  <c:v>51.428571428571431</c:v>
                </c:pt>
                <c:pt idx="3">
                  <c:v>47.142857142857139</c:v>
                </c:pt>
                <c:pt idx="4">
                  <c:v>42.857142857142861</c:v>
                </c:pt>
                <c:pt idx="5">
                  <c:v>38.571428571428569</c:v>
                </c:pt>
                <c:pt idx="6">
                  <c:v>34.285714285714285</c:v>
                </c:pt>
                <c:pt idx="7">
                  <c:v>30</c:v>
                </c:pt>
                <c:pt idx="8">
                  <c:v>25.714285714285715</c:v>
                </c:pt>
                <c:pt idx="9">
                  <c:v>21.428571428571431</c:v>
                </c:pt>
                <c:pt idx="10">
                  <c:v>17.142857142857146</c:v>
                </c:pt>
                <c:pt idx="11">
                  <c:v>12.857142857142861</c:v>
                </c:pt>
                <c:pt idx="12">
                  <c:v>8.5714285714285694</c:v>
                </c:pt>
                <c:pt idx="13">
                  <c:v>4.2857142857142847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28-493C-B467-10454BD3614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'Sp4'!$F$12:$AD$12</c:f>
              <c:numCache>
                <c:formatCode>General</c:formatCode>
                <c:ptCount val="25"/>
                <c:pt idx="0">
                  <c:v>56.257142857142853</c:v>
                </c:pt>
                <c:pt idx="1">
                  <c:v>52.305494505494501</c:v>
                </c:pt>
                <c:pt idx="2">
                  <c:v>48.353846153846149</c:v>
                </c:pt>
                <c:pt idx="3">
                  <c:v>44.402197802197804</c:v>
                </c:pt>
                <c:pt idx="4">
                  <c:v>40.450549450549445</c:v>
                </c:pt>
                <c:pt idx="5">
                  <c:v>36.498901098901101</c:v>
                </c:pt>
                <c:pt idx="6">
                  <c:v>32.547252747252749</c:v>
                </c:pt>
                <c:pt idx="7">
                  <c:v>28.595604395604397</c:v>
                </c:pt>
                <c:pt idx="8">
                  <c:v>24.643956043956045</c:v>
                </c:pt>
                <c:pt idx="9">
                  <c:v>20.692307692307693</c:v>
                </c:pt>
                <c:pt idx="10">
                  <c:v>16.740659340659342</c:v>
                </c:pt>
                <c:pt idx="11">
                  <c:v>12.789010989010997</c:v>
                </c:pt>
                <c:pt idx="12">
                  <c:v>8.837362637362645</c:v>
                </c:pt>
                <c:pt idx="13">
                  <c:v>4.8857142857142932</c:v>
                </c:pt>
                <c:pt idx="14">
                  <c:v>0.93406593406594141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8-493C-B467-10454BD3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'Sp5'!$F$10:$AD$10</c:f>
              <c:numCache>
                <c:formatCode>General</c:formatCode>
                <c:ptCount val="25"/>
                <c:pt idx="0">
                  <c:v>72</c:v>
                </c:pt>
                <c:pt idx="1">
                  <c:v>69</c:v>
                </c:pt>
                <c:pt idx="2">
                  <c:v>62</c:v>
                </c:pt>
                <c:pt idx="3">
                  <c:v>59</c:v>
                </c:pt>
                <c:pt idx="4">
                  <c:v>55</c:v>
                </c:pt>
                <c:pt idx="5">
                  <c:v>46</c:v>
                </c:pt>
                <c:pt idx="6">
                  <c:v>47</c:v>
                </c:pt>
                <c:pt idx="7">
                  <c:v>45</c:v>
                </c:pt>
                <c:pt idx="8">
                  <c:v>40</c:v>
                </c:pt>
                <c:pt idx="9">
                  <c:v>36</c:v>
                </c:pt>
                <c:pt idx="10">
                  <c:v>30</c:v>
                </c:pt>
                <c:pt idx="11">
                  <c:v>20</c:v>
                </c:pt>
                <c:pt idx="12">
                  <c:v>11</c:v>
                </c:pt>
                <c:pt idx="13">
                  <c:v>8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C-4D30-95A9-FDC609379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'Sp5'!$F$11:$AD$11</c:f>
              <c:numCache>
                <c:formatCode>General</c:formatCode>
                <c:ptCount val="2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C-4D30-95A9-FDC6093797A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'Sp5'!$F$12:$AD$12</c:f>
              <c:numCache>
                <c:formatCode>General</c:formatCode>
                <c:ptCount val="25"/>
                <c:pt idx="0">
                  <c:v>75.109890109890117</c:v>
                </c:pt>
                <c:pt idx="1">
                  <c:v>70.142857142857139</c:v>
                </c:pt>
                <c:pt idx="2">
                  <c:v>65.175824175824175</c:v>
                </c:pt>
                <c:pt idx="3">
                  <c:v>60.208791208791212</c:v>
                </c:pt>
                <c:pt idx="4">
                  <c:v>55.241758241758241</c:v>
                </c:pt>
                <c:pt idx="5">
                  <c:v>50.27472527472527</c:v>
                </c:pt>
                <c:pt idx="6">
                  <c:v>45.307692307692307</c:v>
                </c:pt>
                <c:pt idx="7">
                  <c:v>40.340659340659336</c:v>
                </c:pt>
                <c:pt idx="8">
                  <c:v>35.373626373626365</c:v>
                </c:pt>
                <c:pt idx="9">
                  <c:v>30.406593406593402</c:v>
                </c:pt>
                <c:pt idx="10">
                  <c:v>25.439560439560431</c:v>
                </c:pt>
                <c:pt idx="11">
                  <c:v>20.47252747252746</c:v>
                </c:pt>
                <c:pt idx="12">
                  <c:v>15.505494505494497</c:v>
                </c:pt>
                <c:pt idx="13">
                  <c:v>10.538461538461533</c:v>
                </c:pt>
                <c:pt idx="14">
                  <c:v>5.5714285714285552</c:v>
                </c:pt>
                <c:pt idx="15">
                  <c:v>0.60439560439559159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1C-4D30-95A9-FDC609379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541020</xdr:colOff>
          <xdr:row>0</xdr:row>
          <xdr:rowOff>152400</xdr:rowOff>
        </xdr:from>
        <xdr:to>
          <xdr:col>6</xdr:col>
          <xdr:colOff>906780</xdr:colOff>
          <xdr:row>1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539750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3154680</xdr:colOff>
          <xdr:row>7</xdr:row>
          <xdr:rowOff>38100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3543300</xdr:colOff>
          <xdr:row>5</xdr:row>
          <xdr:rowOff>121920</xdr:rowOff>
        </xdr:from>
        <xdr:to>
          <xdr:col>2</xdr:col>
          <xdr:colOff>464820</xdr:colOff>
          <xdr:row>7</xdr:row>
          <xdr:rowOff>38100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3154680</xdr:colOff>
          <xdr:row>7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3543300</xdr:colOff>
          <xdr:row>5</xdr:row>
          <xdr:rowOff>121920</xdr:rowOff>
        </xdr:from>
        <xdr:to>
          <xdr:col>2</xdr:col>
          <xdr:colOff>464820</xdr:colOff>
          <xdr:row>7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3154680</xdr:colOff>
          <xdr:row>7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3543300</xdr:colOff>
          <xdr:row>5</xdr:row>
          <xdr:rowOff>121920</xdr:rowOff>
        </xdr:from>
        <xdr:to>
          <xdr:col>2</xdr:col>
          <xdr:colOff>464820</xdr:colOff>
          <xdr:row>7</xdr:row>
          <xdr:rowOff>38100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5</xdr:row>
          <xdr:rowOff>83820</xdr:rowOff>
        </xdr:from>
        <xdr:to>
          <xdr:col>0</xdr:col>
          <xdr:colOff>2103120</xdr:colOff>
          <xdr:row>7</xdr:row>
          <xdr:rowOff>30480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83820</xdr:rowOff>
        </xdr:from>
        <xdr:to>
          <xdr:col>2</xdr:col>
          <xdr:colOff>312420</xdr:colOff>
          <xdr:row>7</xdr:row>
          <xdr:rowOff>30480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ABCE804-66F5-4823-80CE-974619D7D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5</xdr:row>
          <xdr:rowOff>83820</xdr:rowOff>
        </xdr:from>
        <xdr:to>
          <xdr:col>0</xdr:col>
          <xdr:colOff>2103120</xdr:colOff>
          <xdr:row>7</xdr:row>
          <xdr:rowOff>30480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D0998C7A-2DAC-4C10-A40C-A9C60CF33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83820</xdr:rowOff>
        </xdr:from>
        <xdr:to>
          <xdr:col>2</xdr:col>
          <xdr:colOff>312420</xdr:colOff>
          <xdr:row>7</xdr:row>
          <xdr:rowOff>30480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BF578A9E-C71F-4B67-83C4-0A4495DF0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7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2705100</xdr:colOff>
          <xdr:row>7</xdr:row>
          <xdr:rowOff>38100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3147060</xdr:colOff>
          <xdr:row>5</xdr:row>
          <xdr:rowOff>121920</xdr:rowOff>
        </xdr:from>
        <xdr:to>
          <xdr:col>2</xdr:col>
          <xdr:colOff>350520</xdr:colOff>
          <xdr:row>7</xdr:row>
          <xdr:rowOff>38100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A21" sqref="A21:XFD21"/>
    </sheetView>
  </sheetViews>
  <sheetFormatPr baseColWidth="10" defaultColWidth="8.88671875" defaultRowHeight="13.2" x14ac:dyDescent="0.25"/>
  <cols>
    <col min="1" max="1" width="7.88671875" customWidth="1"/>
    <col min="2" max="2" width="10.44140625" customWidth="1"/>
    <col min="3" max="3" width="9.44140625" customWidth="1"/>
    <col min="4" max="5" width="10.5546875" customWidth="1"/>
    <col min="7" max="7" width="13.5546875" style="2" customWidth="1"/>
    <col min="8" max="8" width="48.5546875" customWidth="1"/>
    <col min="9" max="9" width="10.5546875" customWidth="1"/>
  </cols>
  <sheetData>
    <row r="1" spans="1:10" ht="17.399999999999999" x14ac:dyDescent="0.3">
      <c r="A1" s="15" t="s">
        <v>15</v>
      </c>
    </row>
    <row r="3" spans="1:10" x14ac:dyDescent="0.25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288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55</v>
      </c>
      <c r="F5" s="4" t="s">
        <v>19</v>
      </c>
      <c r="G5" s="50"/>
      <c r="H5" s="7"/>
    </row>
    <row r="6" spans="1:10" x14ac:dyDescent="0.25">
      <c r="A6" s="13"/>
      <c r="B6" s="41"/>
      <c r="C6" s="22" t="str">
        <f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>IF(A7="","",SUMIF(I$16:I$30,A7,C$16:C$30))</f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>IF(A8="","",SUMIF(I$16:I$30,A8,C$16:C$30))</f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>IF(A9="","",SUMIF(I$16:I$30,A9,C$16:C$30))</f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>IF(A10="","",SUMIF(I$16:I$30,A10,C$16:C$30))</f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5">
      <c r="A11" s="38" t="s">
        <v>31</v>
      </c>
    </row>
    <row r="13" spans="1:10" ht="17.399999999999999" x14ac:dyDescent="0.3">
      <c r="A13" s="15" t="s">
        <v>14</v>
      </c>
    </row>
    <row r="15" spans="1:10" x14ac:dyDescent="0.25">
      <c r="A15" s="9" t="s">
        <v>13</v>
      </c>
      <c r="B15" s="47" t="s">
        <v>114</v>
      </c>
      <c r="C15" s="47" t="s">
        <v>115</v>
      </c>
      <c r="D15" s="47" t="s">
        <v>116</v>
      </c>
      <c r="E15" s="47" t="s">
        <v>117</v>
      </c>
      <c r="F15" s="10" t="s">
        <v>118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1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113</v>
      </c>
      <c r="G16" s="27"/>
      <c r="H16" s="28" t="s">
        <v>76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113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89</v>
      </c>
      <c r="F18" s="4" t="s">
        <v>113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89</v>
      </c>
      <c r="F19" s="4" t="s">
        <v>113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55</v>
      </c>
      <c r="F20" s="4" t="s">
        <v>113</v>
      </c>
      <c r="G20" s="27"/>
      <c r="H20" s="29" t="s">
        <v>74</v>
      </c>
      <c r="I20" s="39">
        <v>2</v>
      </c>
    </row>
    <row r="21" spans="1:9" x14ac:dyDescent="0.25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5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si="1"/>
        <v/>
      </c>
      <c r="E22" s="22" t="str">
        <f>IF(A22="","",SUMIF('Product Backlog'!E$6:E$103,'Release Plan'!A22,'Product Backlog'!D$6:D$103))</f>
        <v/>
      </c>
      <c r="F22" s="4" t="str">
        <f t="shared" ref="F22:F30" si="4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2"/>
        <v/>
      </c>
      <c r="B23" s="26" t="str">
        <f t="shared" si="3"/>
        <v/>
      </c>
      <c r="C23" s="27"/>
      <c r="D23" s="26" t="str">
        <f t="shared" si="1"/>
        <v/>
      </c>
      <c r="E23" s="22" t="str">
        <f>IF(A23="","",SUMIF('Product Backlog'!E$6:E$103,'Release Plan'!A23,'Product Backlog'!D$6:D$103))</f>
        <v/>
      </c>
      <c r="F23" s="4" t="str">
        <f t="shared" si="4"/>
        <v>Unplanned</v>
      </c>
      <c r="G23" s="27"/>
      <c r="H23" s="29"/>
      <c r="I23" s="39"/>
    </row>
    <row r="24" spans="1:9" hidden="1" x14ac:dyDescent="0.25">
      <c r="A24" s="22" t="str">
        <f t="shared" si="2"/>
        <v/>
      </c>
      <c r="B24" s="26" t="str">
        <f t="shared" si="3"/>
        <v/>
      </c>
      <c r="C24" s="27"/>
      <c r="D24" s="26" t="str">
        <f t="shared" si="1"/>
        <v/>
      </c>
      <c r="E24" s="22" t="str">
        <f>IF(A24="","",SUMIF('Product Backlog'!E$6:E$103,'Release Plan'!A24,'Product Backlog'!D$6:D$103))</f>
        <v/>
      </c>
      <c r="F24" s="4" t="str">
        <f t="shared" si="4"/>
        <v>Unplanned</v>
      </c>
      <c r="G24" s="27"/>
      <c r="H24" s="29"/>
      <c r="I24" s="39"/>
    </row>
    <row r="25" spans="1:9" hidden="1" x14ac:dyDescent="0.25">
      <c r="A25" s="22" t="str">
        <f t="shared" si="2"/>
        <v/>
      </c>
      <c r="B25" s="26" t="str">
        <f t="shared" si="3"/>
        <v/>
      </c>
      <c r="C25" s="27"/>
      <c r="D25" s="26" t="str">
        <f t="shared" si="1"/>
        <v/>
      </c>
      <c r="E25" s="22" t="str">
        <f>IF(A25="","",SUMIF('Product Backlog'!E$6:E$103,'Release Plan'!A25,'Product Backlog'!D$6:D$103))</f>
        <v/>
      </c>
      <c r="F25" s="4" t="str">
        <f t="shared" si="4"/>
        <v>Unplanned</v>
      </c>
      <c r="G25" s="27"/>
      <c r="H25" s="29"/>
      <c r="I25" s="39"/>
    </row>
    <row r="26" spans="1:9" hidden="1" x14ac:dyDescent="0.25">
      <c r="A26" s="22" t="str">
        <f t="shared" si="2"/>
        <v/>
      </c>
      <c r="B26" s="26" t="str">
        <f t="shared" si="3"/>
        <v/>
      </c>
      <c r="C26" s="27"/>
      <c r="D26" s="26" t="str">
        <f t="shared" si="1"/>
        <v/>
      </c>
      <c r="E26" s="22" t="str">
        <f>IF(A26="","",SUMIF('Product Backlog'!E$6:E$103,'Release Plan'!A26,'Product Backlog'!D$6:D$103))</f>
        <v/>
      </c>
      <c r="F26" s="4" t="str">
        <f t="shared" si="4"/>
        <v>Unplanned</v>
      </c>
      <c r="G26" s="27"/>
      <c r="H26" s="29"/>
      <c r="I26" s="39"/>
    </row>
    <row r="27" spans="1:9" hidden="1" x14ac:dyDescent="0.25">
      <c r="A27" s="22" t="str">
        <f t="shared" si="2"/>
        <v/>
      </c>
      <c r="B27" s="26" t="str">
        <f t="shared" si="3"/>
        <v/>
      </c>
      <c r="C27" s="27"/>
      <c r="D27" s="26" t="str">
        <f t="shared" si="1"/>
        <v/>
      </c>
      <c r="E27" s="22" t="str">
        <f>IF(A27="","",SUMIF('Product Backlog'!E$6:E$103,'Release Plan'!A27,'Product Backlog'!D$6:D$103))</f>
        <v/>
      </c>
      <c r="F27" s="4" t="str">
        <f t="shared" si="4"/>
        <v>Unplanned</v>
      </c>
      <c r="G27" s="27"/>
      <c r="H27" s="29"/>
      <c r="I27" s="39"/>
    </row>
    <row r="28" spans="1:9" hidden="1" x14ac:dyDescent="0.25">
      <c r="A28" s="22" t="str">
        <f t="shared" si="2"/>
        <v/>
      </c>
      <c r="B28" s="26" t="str">
        <f t="shared" si="3"/>
        <v/>
      </c>
      <c r="C28" s="27"/>
      <c r="D28" s="26" t="str">
        <f t="shared" si="1"/>
        <v/>
      </c>
      <c r="E28" s="22" t="str">
        <f>IF(A28="","",SUMIF('Product Backlog'!E$6:E$103,'Release Plan'!A28,'Product Backlog'!D$6:D$103))</f>
        <v/>
      </c>
      <c r="F28" s="4" t="str">
        <f t="shared" si="4"/>
        <v>Unplanned</v>
      </c>
      <c r="G28" s="27"/>
      <c r="H28" s="29"/>
      <c r="I28" s="39"/>
    </row>
    <row r="29" spans="1:9" hidden="1" x14ac:dyDescent="0.25">
      <c r="A29" s="22" t="str">
        <f t="shared" si="2"/>
        <v/>
      </c>
      <c r="B29" s="26" t="str">
        <f t="shared" si="3"/>
        <v/>
      </c>
      <c r="C29" s="27"/>
      <c r="D29" s="26" t="str">
        <f t="shared" si="1"/>
        <v/>
      </c>
      <c r="E29" s="22" t="str">
        <f>IF(A29="","",SUMIF('Product Backlog'!E$6:E$103,'Release Plan'!A29,'Product Backlog'!D$6:D$103))</f>
        <v/>
      </c>
      <c r="F29" s="4" t="str">
        <f t="shared" si="4"/>
        <v>Unplanned</v>
      </c>
      <c r="G29" s="27"/>
      <c r="H29" s="29"/>
      <c r="I29" s="39"/>
    </row>
    <row r="30" spans="1:9" hidden="1" x14ac:dyDescent="0.25">
      <c r="A30" s="22" t="str">
        <f t="shared" si="2"/>
        <v/>
      </c>
      <c r="B30" s="26" t="str">
        <f t="shared" si="3"/>
        <v/>
      </c>
      <c r="C30" s="27"/>
      <c r="D30" s="26" t="str">
        <f t="shared" si="1"/>
        <v/>
      </c>
      <c r="E30" s="22" t="str">
        <f>IF(A30="","",SUMIF('Product Backlog'!E$6:E$103,'Release Plan'!A30,'Product Backlog'!D$6:D$103))</f>
        <v/>
      </c>
      <c r="F30" s="4" t="str">
        <f t="shared" si="4"/>
        <v>Unplanned</v>
      </c>
      <c r="G30" s="27"/>
      <c r="H30" s="30"/>
      <c r="I30" s="40"/>
    </row>
    <row r="31" spans="1:9" x14ac:dyDescent="0.25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111" priority="1" stopIfTrue="1">
      <formula>$F4="Planned"</formula>
    </cfRule>
    <cfRule type="expression" dxfId="110" priority="2" stopIfTrue="1">
      <formula>$F4="Ongoing"</formula>
    </cfRule>
  </conditionalFormatting>
  <conditionalFormatting sqref="F4:F10 F16:F30">
    <cfRule type="expression" dxfId="109" priority="3" stopIfTrue="1">
      <formula>$F4="Planned"</formula>
    </cfRule>
    <cfRule type="expression" dxfId="108" priority="4" stopIfTrue="1">
      <formula>$F4="Ongoing"</formula>
    </cfRule>
    <cfRule type="cellIs" dxfId="107" priority="5" stopIfTrue="1" operator="equal">
      <formula>"Unplanned"</formula>
    </cfRule>
  </conditionalFormatting>
  <conditionalFormatting sqref="E4 G16:H30 A16:E30">
    <cfRule type="expression" dxfId="106" priority="6" stopIfTrue="1">
      <formula>OR($F4="Planned",$F4="Unplanned")</formula>
    </cfRule>
    <cfRule type="expression" dxfId="105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B30" sqref="B30"/>
    </sheetView>
  </sheetViews>
  <sheetFormatPr baseColWidth="10" defaultColWidth="9.109375" defaultRowHeight="13.2" x14ac:dyDescent="0.25"/>
  <cols>
    <col min="1" max="1" width="14.109375" style="34" customWidth="1"/>
    <col min="2" max="2" width="39.44140625" style="32" customWidth="1"/>
    <col min="3" max="3" width="10.88671875" style="34" customWidth="1"/>
    <col min="4" max="6" width="9.109375" style="34"/>
    <col min="7" max="7" width="39.44140625" style="32" customWidth="1"/>
    <col min="8" max="16384" width="9.109375" style="35"/>
  </cols>
  <sheetData>
    <row r="1" spans="1:7" ht="17.399999999999999" x14ac:dyDescent="0.25">
      <c r="A1" s="54" t="s">
        <v>5</v>
      </c>
      <c r="C1" s="33" t="s">
        <v>77</v>
      </c>
    </row>
    <row r="2" spans="1:7" x14ac:dyDescent="0.25">
      <c r="D2" s="78"/>
    </row>
    <row r="4" spans="1:7" ht="13.8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75</v>
      </c>
      <c r="G4" s="46" t="s">
        <v>28</v>
      </c>
    </row>
    <row r="5" spans="1:7" x14ac:dyDescent="0.25">
      <c r="A5" s="34" t="s">
        <v>95</v>
      </c>
      <c r="B5" s="102" t="s">
        <v>103</v>
      </c>
      <c r="C5" s="34" t="s">
        <v>78</v>
      </c>
      <c r="D5" s="34">
        <v>55</v>
      </c>
      <c r="E5" s="34">
        <v>1</v>
      </c>
      <c r="F5" s="103" t="s">
        <v>109</v>
      </c>
    </row>
    <row r="6" spans="1:7" x14ac:dyDescent="0.25">
      <c r="A6" s="34" t="s">
        <v>96</v>
      </c>
      <c r="B6" s="102" t="s">
        <v>104</v>
      </c>
      <c r="C6" s="34" t="s">
        <v>162</v>
      </c>
      <c r="D6" s="34">
        <v>55</v>
      </c>
      <c r="F6" s="103" t="s">
        <v>111</v>
      </c>
    </row>
    <row r="7" spans="1:7" x14ac:dyDescent="0.25">
      <c r="A7" s="34" t="s">
        <v>97</v>
      </c>
      <c r="B7" s="102" t="s">
        <v>105</v>
      </c>
      <c r="C7" s="107" t="s">
        <v>78</v>
      </c>
      <c r="D7" s="34">
        <v>55</v>
      </c>
      <c r="E7" s="34">
        <v>2</v>
      </c>
      <c r="F7" s="103" t="s">
        <v>109</v>
      </c>
    </row>
    <row r="8" spans="1:7" x14ac:dyDescent="0.25">
      <c r="A8" s="34" t="s">
        <v>98</v>
      </c>
      <c r="B8" s="102" t="s">
        <v>106</v>
      </c>
      <c r="C8" s="34" t="s">
        <v>162</v>
      </c>
      <c r="D8" s="34">
        <v>34</v>
      </c>
      <c r="F8" s="103" t="s">
        <v>111</v>
      </c>
    </row>
    <row r="9" spans="1:7" x14ac:dyDescent="0.25">
      <c r="A9" s="34" t="s">
        <v>99</v>
      </c>
      <c r="B9" s="102" t="s">
        <v>112</v>
      </c>
      <c r="C9" s="34" t="s">
        <v>162</v>
      </c>
      <c r="D9" s="34">
        <v>13</v>
      </c>
      <c r="F9" s="103" t="s">
        <v>111</v>
      </c>
    </row>
    <row r="10" spans="1:7" ht="26.25" customHeight="1" x14ac:dyDescent="0.25">
      <c r="A10" s="34" t="s">
        <v>100</v>
      </c>
      <c r="B10" s="102" t="s">
        <v>107</v>
      </c>
      <c r="C10" s="103" t="s">
        <v>78</v>
      </c>
      <c r="D10" s="34">
        <v>89</v>
      </c>
      <c r="E10" s="34">
        <v>3</v>
      </c>
      <c r="F10" s="103" t="s">
        <v>109</v>
      </c>
    </row>
    <row r="11" spans="1:7" ht="26.25" customHeight="1" x14ac:dyDescent="0.25">
      <c r="A11" s="34" t="s">
        <v>101</v>
      </c>
      <c r="B11" s="102" t="s">
        <v>108</v>
      </c>
      <c r="C11" s="34" t="s">
        <v>78</v>
      </c>
      <c r="D11" s="34">
        <v>89</v>
      </c>
      <c r="E11" s="34">
        <v>4</v>
      </c>
      <c r="F11" s="103" t="s">
        <v>109</v>
      </c>
    </row>
    <row r="12" spans="1:7" x14ac:dyDescent="0.25">
      <c r="A12" s="34" t="s">
        <v>102</v>
      </c>
      <c r="B12" s="102" t="s">
        <v>161</v>
      </c>
      <c r="C12" s="34" t="s">
        <v>79</v>
      </c>
      <c r="D12" s="34">
        <v>55</v>
      </c>
      <c r="E12" s="34">
        <v>5</v>
      </c>
      <c r="F12" s="103" t="s">
        <v>110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58" priority="1" stopIfTrue="1">
      <formula>$C4="Done"</formula>
    </cfRule>
    <cfRule type="expression" dxfId="57" priority="2" stopIfTrue="1">
      <formula>$C4="Ongoing"</formula>
    </cfRule>
    <cfRule type="expression" dxfId="56" priority="3" stopIfTrue="1">
      <formula>$C4="Removed"</formula>
    </cfRule>
  </conditionalFormatting>
  <conditionalFormatting sqref="G53">
    <cfRule type="expression" dxfId="104" priority="4" stopIfTrue="1">
      <formula>#REF!="Done"</formula>
    </cfRule>
    <cfRule type="expression" dxfId="103" priority="5" stopIfTrue="1">
      <formula>#REF!="Ongoing"</formula>
    </cfRule>
    <cfRule type="expression" dxfId="102" priority="6" stopIfTrue="1">
      <formula>#REF!="Removed"</formula>
    </cfRule>
  </conditionalFormatting>
  <conditionalFormatting sqref="G42:G43">
    <cfRule type="expression" dxfId="101" priority="7" stopIfTrue="1">
      <formula>#REF!="Done"</formula>
    </cfRule>
    <cfRule type="expression" dxfId="100" priority="8" stopIfTrue="1">
      <formula>#REF!="Ongoing"</formula>
    </cfRule>
    <cfRule type="expression" dxfId="99" priority="9" stopIfTrue="1">
      <formula>#REF!="Removed"</formula>
    </cfRule>
  </conditionalFormatting>
  <conditionalFormatting sqref="G22">
    <cfRule type="expression" dxfId="98" priority="10" stopIfTrue="1">
      <formula>#REF!="Done"</formula>
    </cfRule>
    <cfRule type="expression" dxfId="97" priority="11" stopIfTrue="1">
      <formula>#REF!="Ongoing"</formula>
    </cfRule>
    <cfRule type="expression" dxfId="96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541020</xdr:colOff>
                    <xdr:row>0</xdr:row>
                    <xdr:rowOff>152400</xdr:rowOff>
                  </from>
                  <to>
                    <xdr:col>6</xdr:col>
                    <xdr:colOff>906780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D7" sqref="D7"/>
    </sheetView>
  </sheetViews>
  <sheetFormatPr baseColWidth="10" defaultColWidth="8.88671875" defaultRowHeight="13.2" x14ac:dyDescent="0.25"/>
  <cols>
    <col min="1" max="1" width="11.88671875" customWidth="1"/>
    <col min="5" max="5" width="14.44140625" customWidth="1"/>
    <col min="6" max="6" width="15.5546875" hidden="1" customWidth="1"/>
    <col min="7" max="8" width="5.44140625" hidden="1" customWidth="1"/>
    <col min="9" max="9" width="7.44140625" hidden="1" customWidth="1"/>
    <col min="10" max="10" width="4.44140625" hidden="1" customWidth="1"/>
    <col min="11" max="13" width="6.88671875" hidden="1" customWidth="1"/>
    <col min="14" max="16" width="9.109375" hidden="1" customWidth="1"/>
    <col min="17" max="17" width="10.44140625" hidden="1" customWidth="1"/>
  </cols>
  <sheetData>
    <row r="1" spans="1:26" ht="17.399999999999999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6</v>
      </c>
    </row>
    <row r="4" spans="1:26" x14ac:dyDescent="0.25">
      <c r="A4" s="104" t="s">
        <v>40</v>
      </c>
      <c r="D4">
        <v>5</v>
      </c>
      <c r="E4" t="s">
        <v>41</v>
      </c>
      <c r="F4" t="s">
        <v>58</v>
      </c>
      <c r="G4" s="55">
        <f>IF(COUNT(D28:D33)=0,1,COUNT(D28:D33)+1)</f>
        <v>6</v>
      </c>
    </row>
    <row r="5" spans="1:26" x14ac:dyDescent="0.25">
      <c r="F5" t="s">
        <v>42</v>
      </c>
      <c r="G5" s="55">
        <f>IF(G4&gt;D4,G4-D4,0)</f>
        <v>1</v>
      </c>
      <c r="Z5" s="38" t="s">
        <v>80</v>
      </c>
    </row>
    <row r="6" spans="1:26" x14ac:dyDescent="0.25">
      <c r="A6" s="1" t="s">
        <v>72</v>
      </c>
      <c r="F6" t="s">
        <v>43</v>
      </c>
      <c r="G6" s="55">
        <f>TrendSprintCount-TrendOffset</f>
        <v>5</v>
      </c>
      <c r="Z6" s="38" t="s">
        <v>81</v>
      </c>
    </row>
    <row r="7" spans="1:26" x14ac:dyDescent="0.25">
      <c r="A7" t="s">
        <v>46</v>
      </c>
      <c r="D7">
        <v>60</v>
      </c>
      <c r="Z7" s="38" t="s">
        <v>84</v>
      </c>
    </row>
    <row r="8" spans="1:26" x14ac:dyDescent="0.25">
      <c r="A8" s="109">
        <f>D$4</f>
        <v>5</v>
      </c>
      <c r="B8" s="109"/>
      <c r="D8" s="58">
        <f ca="1">IF(D28="","",AVERAGE(OFFSET(D27,TrendOffset,0,SprintsInTrend,1)))</f>
        <v>74</v>
      </c>
      <c r="Z8" s="38" t="s">
        <v>85</v>
      </c>
    </row>
    <row r="9" spans="1:26" x14ac:dyDescent="0.25">
      <c r="A9" t="s">
        <v>59</v>
      </c>
      <c r="D9" s="58">
        <f ca="1">IF(D28="","",AVERAGE(OFFSET(D27,1,0,SprintCount,1)))</f>
        <v>74</v>
      </c>
      <c r="F9" t="s">
        <v>51</v>
      </c>
      <c r="G9" s="55">
        <f ca="1">IF(M28="",1,COUNT(M28:M92))</f>
        <v>6</v>
      </c>
      <c r="Z9" s="38" t="s">
        <v>86</v>
      </c>
    </row>
    <row r="10" spans="1:26" x14ac:dyDescent="0.25">
      <c r="A10" t="s">
        <v>48</v>
      </c>
      <c r="D10" s="58">
        <f ca="1">IF(D28="","",AVERAGE(LastEight))</f>
        <v>74</v>
      </c>
      <c r="Z10" s="38" t="s">
        <v>82</v>
      </c>
    </row>
    <row r="11" spans="1:26" x14ac:dyDescent="0.25">
      <c r="A11" t="s">
        <v>49</v>
      </c>
      <c r="D11" s="58">
        <f ca="1">IF(D28="","",IF(TrendSprintCount&lt;4,D10,AVERAGE(SMALL(LastEight,1),SMALL(LastEight,2),SMALL(LastEight,3))))</f>
        <v>60</v>
      </c>
      <c r="Z11" s="38" t="s">
        <v>83</v>
      </c>
    </row>
    <row r="12" spans="1:26" x14ac:dyDescent="0.25">
      <c r="A12" t="s">
        <v>24</v>
      </c>
      <c r="D12" s="58">
        <f ca="1">IF(M29="","",M28-M29)</f>
        <v>82</v>
      </c>
      <c r="Z12" s="38" t="s">
        <v>87</v>
      </c>
    </row>
    <row r="13" spans="1:26" x14ac:dyDescent="0.25">
      <c r="F13" s="56" t="s">
        <v>52</v>
      </c>
      <c r="Z13" s="38" t="s">
        <v>88</v>
      </c>
    </row>
    <row r="14" spans="1:26" x14ac:dyDescent="0.25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20.432816741702549</v>
      </c>
    </row>
    <row r="18" spans="1:17" x14ac:dyDescent="0.25">
      <c r="A18" s="109">
        <f>D$4</f>
        <v>5</v>
      </c>
      <c r="B18" s="109"/>
      <c r="D18" s="59">
        <f ca="1">IF(D8="","",IF(LastRealized="",ROUNDUP(LastPlanned/D8,0)+SprintCount-1,ROUNDUP((LastPlanned-LastRealized)/D8+SprintCount,0)))</f>
        <v>7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7</v>
      </c>
      <c r="F19" t="s">
        <v>63</v>
      </c>
      <c r="G19">
        <f ca="1">LastPlanned</f>
        <v>117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7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7</v>
      </c>
    </row>
    <row r="22" spans="1:17" x14ac:dyDescent="0.25">
      <c r="A22" t="s">
        <v>24</v>
      </c>
      <c r="D22" s="59">
        <f ca="1">IF(COUNT(M28:M33)-1&gt;0,COUNT(M28:M33)-1,"")</f>
        <v>5</v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7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8</v>
      </c>
    </row>
    <row r="26" spans="1:17" ht="12.75" customHeight="1" x14ac:dyDescent="0.25">
      <c r="F26" s="111" t="s">
        <v>24</v>
      </c>
      <c r="G26" s="111"/>
      <c r="H26" s="111"/>
      <c r="I26" s="111"/>
      <c r="J26" s="111"/>
      <c r="K26" s="111"/>
      <c r="L26" s="111"/>
      <c r="M26" s="111"/>
      <c r="N26" s="111"/>
      <c r="O26" s="111" t="s">
        <v>69</v>
      </c>
      <c r="P26" s="111"/>
      <c r="Q26" s="111"/>
    </row>
    <row r="27" spans="1:17" s="3" customFormat="1" ht="27" thickBot="1" x14ac:dyDescent="0.3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10" t="s">
        <v>38</v>
      </c>
      <c r="H27" s="110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526</v>
      </c>
      <c r="M28" s="55">
        <f ca="1">L28</f>
        <v>526</v>
      </c>
      <c r="N28" s="55">
        <f t="shared" ref="N28:N33" ca="1" si="4">OFFSET($I$27,TrendSprintCount,0,1,1)</f>
        <v>0</v>
      </c>
      <c r="O28" s="66">
        <f t="shared" ref="O28:O33" ca="1" si="5">D$9</f>
        <v>74</v>
      </c>
      <c r="P28" s="66">
        <f t="shared" ref="P28:P33" ca="1" si="6">D$10</f>
        <v>74</v>
      </c>
      <c r="Q28" s="66">
        <f t="shared" ref="Q28:Q33" ca="1" si="7">D$11</f>
        <v>60</v>
      </c>
    </row>
    <row r="29" spans="1:17" x14ac:dyDescent="0.25">
      <c r="A29" s="57">
        <v>2</v>
      </c>
      <c r="B29" s="2">
        <f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444</v>
      </c>
      <c r="M29" s="55">
        <f ca="1">IF(L29=L28,"",L29)</f>
        <v>444</v>
      </c>
      <c r="N29" s="55">
        <f t="shared" ca="1" si="4"/>
        <v>0</v>
      </c>
      <c r="O29" s="66">
        <f t="shared" ca="1" si="5"/>
        <v>74</v>
      </c>
      <c r="P29" s="66">
        <f t="shared" ca="1" si="6"/>
        <v>74</v>
      </c>
      <c r="Q29" s="66">
        <f t="shared" ca="1" si="7"/>
        <v>60</v>
      </c>
    </row>
    <row r="30" spans="1:17" x14ac:dyDescent="0.25">
      <c r="A30" s="57">
        <v>3</v>
      </c>
      <c r="B30" s="2">
        <f>IF(OR(B29="",C29=""),"",IF(D29="",IF(B29-C29&lt;=0,"",B29-C29),IF(B29-D29&lt;=0,"",B29-D29)))</f>
        <v>377</v>
      </c>
      <c r="C30" s="2">
        <v>89</v>
      </c>
      <c r="D30" s="2">
        <v>90</v>
      </c>
      <c r="E30" s="57">
        <f>IF(B30="","",IF(D29="",E29,B30+SUM(D$28:D29)))</f>
        <v>487</v>
      </c>
      <c r="F30" s="55">
        <f>IF(B30="",IF(B29="","",IF(D29="","",I29)),IF(AND(D29="",C29=""),"",IF(AND(D29="",C29&lt;&gt;""),IF(I29&gt;F29,F29,I29),F29-D29)))</f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362</v>
      </c>
      <c r="M30" s="55">
        <f ca="1">IF(L30=L29,"",L30)</f>
        <v>362</v>
      </c>
      <c r="N30" s="55">
        <f t="shared" ca="1" si="4"/>
        <v>0</v>
      </c>
      <c r="O30" s="66">
        <f t="shared" ca="1" si="5"/>
        <v>74</v>
      </c>
      <c r="P30" s="66">
        <f t="shared" ca="1" si="6"/>
        <v>74</v>
      </c>
      <c r="Q30" s="66">
        <f t="shared" ca="1" si="7"/>
        <v>60</v>
      </c>
    </row>
    <row r="31" spans="1:17" x14ac:dyDescent="0.25">
      <c r="A31" s="57">
        <v>4</v>
      </c>
      <c r="B31" s="2">
        <f>IF(OR(B30="",C30=""),"",IF(D30="",IF(B30-C30&lt;=0,"",B30-C30),IF(B30-D30&lt;=0,"",B30-D30)))</f>
        <v>287</v>
      </c>
      <c r="C31" s="2">
        <v>89</v>
      </c>
      <c r="D31" s="2">
        <v>100</v>
      </c>
      <c r="E31" s="57">
        <f>IF(B31="","",IF(D30="",E30,B31+SUM(D$28:D30)))</f>
        <v>487</v>
      </c>
      <c r="F31" s="55">
        <f>IF(B31="",IF(B30="","",IF(D30="","",I30)),IF(AND(D30="",C30=""),"",IF(AND(D30="",C30&lt;&gt;""),IF(I30&gt;F30,F30,I30),F30-D30)))</f>
        <v>287</v>
      </c>
      <c r="G31" s="55">
        <f t="shared" si="0"/>
        <v>287</v>
      </c>
      <c r="H31" s="55">
        <f t="shared" si="1"/>
        <v>0</v>
      </c>
      <c r="I31" s="55">
        <f>IF(B31="",IF(B30="","",IF(D30="","",F30-D30)),IF(AND(C30="",D30=""),"",IF(AND(D30="",C30&lt;&gt;""),IF(I30&gt;F30,I30-C30,F30-C30),B$28-B31-SUM(D$28:D30))))</f>
        <v>0</v>
      </c>
      <c r="K31">
        <f t="shared" si="2"/>
        <v>287</v>
      </c>
      <c r="L31" s="55">
        <f t="shared" ca="1" si="3"/>
        <v>280</v>
      </c>
      <c r="M31" s="55">
        <f ca="1">IF(L31=L30,"",L31)</f>
        <v>280</v>
      </c>
      <c r="N31" s="55">
        <f t="shared" ca="1" si="4"/>
        <v>0</v>
      </c>
      <c r="O31" s="66">
        <f t="shared" ca="1" si="5"/>
        <v>74</v>
      </c>
      <c r="P31" s="66">
        <f t="shared" ca="1" si="6"/>
        <v>74</v>
      </c>
      <c r="Q31" s="66">
        <f t="shared" ca="1" si="7"/>
        <v>60</v>
      </c>
    </row>
    <row r="32" spans="1:17" x14ac:dyDescent="0.25">
      <c r="A32" s="57">
        <v>5</v>
      </c>
      <c r="B32" s="2">
        <f>IF(OR(B31="",C31=""),"",IF(D31="",IF(B31-C31&lt;=0,"",B31-C31),IF(B31-D31&lt;=0,"",B31-D31)))</f>
        <v>187</v>
      </c>
      <c r="C32" s="2">
        <v>55</v>
      </c>
      <c r="D32" s="2">
        <v>70</v>
      </c>
      <c r="E32" s="57">
        <f>IF(B32="","",IF(D31="",E31,B32+SUM(D$28:D31)))</f>
        <v>487</v>
      </c>
      <c r="F32" s="55">
        <f>IF(B32="",IF(B31="","",IF(D31="","",I31)),IF(AND(D31="",C31=""),"",IF(AND(D31="",C31&lt;&gt;""),IF(I31&gt;F31,F31,I31),F31-D31)))</f>
        <v>187</v>
      </c>
      <c r="G32" s="55">
        <f t="shared" si="0"/>
        <v>187</v>
      </c>
      <c r="H32" s="55">
        <f t="shared" si="1"/>
        <v>0</v>
      </c>
      <c r="I32" s="55">
        <f>IF(B32="",IF(B31="","",IF(D31="","",F31-D31)),IF(AND(C31="",D31=""),"",IF(AND(D31="",C31&lt;&gt;""),IF(I31&gt;F31,I31-C31,F31-C31),B$28-B32-SUM(D$28:D31))))</f>
        <v>0</v>
      </c>
      <c r="K32">
        <f t="shared" si="2"/>
        <v>187</v>
      </c>
      <c r="L32" s="55">
        <f t="shared" ca="1" si="3"/>
        <v>198</v>
      </c>
      <c r="M32" s="55">
        <f ca="1">IF(L32=L31,"",L32)</f>
        <v>198</v>
      </c>
      <c r="N32" s="55">
        <f t="shared" ca="1" si="4"/>
        <v>0</v>
      </c>
      <c r="O32" s="66">
        <f t="shared" ca="1" si="5"/>
        <v>74</v>
      </c>
      <c r="P32" s="66">
        <f t="shared" ca="1" si="6"/>
        <v>74</v>
      </c>
      <c r="Q32" s="66">
        <f t="shared" ca="1" si="7"/>
        <v>60</v>
      </c>
    </row>
    <row r="33" spans="1:17" x14ac:dyDescent="0.25">
      <c r="A33" s="57">
        <v>6</v>
      </c>
      <c r="B33" s="2">
        <f>IF(OR(B32="",C32=""),"",IF(D32="",IF(B32-C32&lt;=0,"",B32-C32),IF(B32-D32&lt;=0,"",B32-D32)))</f>
        <v>117</v>
      </c>
      <c r="C33" s="2"/>
      <c r="D33" s="2"/>
      <c r="E33" s="57">
        <f>IF(B33="","",IF(D32="",E32,B33+SUM(D$28:D32)))</f>
        <v>487</v>
      </c>
      <c r="F33" s="55">
        <f>IF(B33="",IF(B32="","",IF(D32="","",I32)),IF(AND(D32="",C32=""),"",IF(AND(D32="",C32&lt;&gt;""),IF(I32&gt;F32,F32,I32),F32-D32)))</f>
        <v>117</v>
      </c>
      <c r="G33" s="55">
        <f t="shared" si="0"/>
        <v>117</v>
      </c>
      <c r="H33" s="55">
        <f t="shared" si="1"/>
        <v>0</v>
      </c>
      <c r="I33" s="55">
        <f>IF(B33="",IF(B32="","",IF(D32="","",F32-D32)),IF(AND(C32="",D32=""),"",IF(AND(D32="",C32&lt;&gt;""),IF(I32&gt;F32,I32-C32,F32-C32),B$28-B33-SUM(D$28:D32))))</f>
        <v>0</v>
      </c>
      <c r="K33">
        <f t="shared" si="2"/>
        <v>117</v>
      </c>
      <c r="L33" s="55">
        <f t="shared" ca="1" si="3"/>
        <v>116</v>
      </c>
      <c r="M33" s="55">
        <f ca="1">IF(L33=L32,"",L33)</f>
        <v>116</v>
      </c>
      <c r="N33" s="55">
        <f t="shared" ca="1" si="4"/>
        <v>0</v>
      </c>
      <c r="O33" s="66">
        <f t="shared" ca="1" si="5"/>
        <v>74</v>
      </c>
      <c r="P33" s="66">
        <f t="shared" ca="1" si="6"/>
        <v>74</v>
      </c>
      <c r="Q33" s="66">
        <f t="shared" ca="1" si="7"/>
        <v>60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95" priority="1" stopIfTrue="1">
      <formula>$D26="Done"</formula>
    </cfRule>
    <cfRule type="expression" dxfId="94" priority="2" stopIfTrue="1">
      <formula>$D26="Ongoing"</formula>
    </cfRule>
    <cfRule type="expression" dxfId="93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showGridLines="0" showRowColHeaders="0" zoomScaleNormal="100" workbookViewId="0">
      <pane ySplit="14" topLeftCell="A15" activePane="bottomLeft" state="frozen"/>
      <selection pane="bottomLeft" activeCell="N17" sqref="N17"/>
    </sheetView>
  </sheetViews>
  <sheetFormatPr baseColWidth="10" defaultColWidth="9.109375" defaultRowHeight="13.2" x14ac:dyDescent="0.25"/>
  <cols>
    <col min="1" max="1" width="47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134</v>
      </c>
      <c r="B9" s="70">
        <v>14</v>
      </c>
      <c r="C9" s="69"/>
      <c r="D9" s="71"/>
      <c r="E9" s="69" t="s">
        <v>132</v>
      </c>
      <c r="F9" s="69" t="s">
        <v>133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135</v>
      </c>
      <c r="B10" s="70">
        <v>14</v>
      </c>
      <c r="C10" s="69" t="s">
        <v>115</v>
      </c>
      <c r="D10" s="69" t="s">
        <v>131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56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128</v>
      </c>
      <c r="B14" s="73" t="s">
        <v>129</v>
      </c>
      <c r="C14" s="69" t="s">
        <v>130</v>
      </c>
      <c r="D14" s="69" t="s">
        <v>118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120</v>
      </c>
      <c r="B15" s="105" t="s">
        <v>95</v>
      </c>
      <c r="C15" s="104" t="s">
        <v>119</v>
      </c>
      <c r="D15" t="s">
        <v>78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121</v>
      </c>
      <c r="B16" s="2" t="s">
        <v>95</v>
      </c>
      <c r="C16" s="104" t="s">
        <v>119</v>
      </c>
      <c r="D16" t="s">
        <v>78</v>
      </c>
      <c r="E16" s="2">
        <v>10</v>
      </c>
      <c r="F16" s="2">
        <v>9</v>
      </c>
      <c r="G16" s="2">
        <v>10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122</v>
      </c>
      <c r="B17" s="2" t="s">
        <v>95</v>
      </c>
      <c r="C17" s="104" t="s">
        <v>119</v>
      </c>
      <c r="D17" t="s">
        <v>78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123</v>
      </c>
      <c r="B18" s="105" t="s">
        <v>95</v>
      </c>
      <c r="C18" s="104" t="s">
        <v>119</v>
      </c>
      <c r="D18" t="s">
        <v>78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124</v>
      </c>
      <c r="B19" s="105" t="s">
        <v>95</v>
      </c>
      <c r="C19" s="104" t="s">
        <v>119</v>
      </c>
      <c r="D19" t="s">
        <v>78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125</v>
      </c>
      <c r="B20" s="105" t="s">
        <v>95</v>
      </c>
      <c r="C20" s="104" t="s">
        <v>119</v>
      </c>
      <c r="D20" t="s">
        <v>78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127</v>
      </c>
      <c r="B21" s="105" t="s">
        <v>95</v>
      </c>
      <c r="C21" s="104" t="s">
        <v>119</v>
      </c>
      <c r="D21" t="s">
        <v>78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126</v>
      </c>
      <c r="B22" s="105" t="s">
        <v>95</v>
      </c>
      <c r="C22" s="104" t="s">
        <v>119</v>
      </c>
      <c r="D22" t="s">
        <v>78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92" priority="1" stopIfTrue="1">
      <formula>$D15="Done"</formula>
    </cfRule>
    <cfRule type="expression" dxfId="91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3154680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3543300</xdr:colOff>
                    <xdr:row>5</xdr:row>
                    <xdr:rowOff>121920</xdr:rowOff>
                  </from>
                  <to>
                    <xdr:col>2</xdr:col>
                    <xdr:colOff>464820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F99C7-B77D-437F-92BA-5F60B5689DE2}">
  <sheetPr codeName="Sheet7"/>
  <dimension ref="A1:AD83"/>
  <sheetViews>
    <sheetView showGridLines="0" showRowColHeaders="0" zoomScaleNormal="100" workbookViewId="0">
      <pane ySplit="14" topLeftCell="A15" activePane="bottomLeft" state="frozen"/>
      <selection pane="bottomLeft" activeCell="C25" sqref="C25"/>
    </sheetView>
  </sheetViews>
  <sheetFormatPr baseColWidth="10" defaultColWidth="9.109375" defaultRowHeight="13.2" x14ac:dyDescent="0.25"/>
  <cols>
    <col min="1" max="1" width="47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2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134</v>
      </c>
      <c r="B9" s="70">
        <v>12</v>
      </c>
      <c r="C9" s="69"/>
      <c r="D9" s="71"/>
      <c r="E9" s="69" t="s">
        <v>132</v>
      </c>
      <c r="F9" s="69" t="s">
        <v>133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135</v>
      </c>
      <c r="B10" s="70">
        <v>12</v>
      </c>
      <c r="C10" s="69" t="s">
        <v>115</v>
      </c>
      <c r="D10" s="69" t="s">
        <v>131</v>
      </c>
      <c r="E10" s="72">
        <f ca="1">SUM(OFFSET(E14,1,0,TaskRows,1))</f>
        <v>55</v>
      </c>
      <c r="F10" s="72">
        <f ca="1">IF(AND(SUM(OFFSET(F14,1,0,TaskRows,1))=0),0,SUM(OFFSET(F14,1,0,TaskRows,1)))</f>
        <v>49</v>
      </c>
      <c r="G10" s="72">
        <f t="shared" ref="G10:AD10" ca="1" si="0">IF(AND(SUM(OFFSET(G14,1,0,TaskRows,1))=0),"",SUM(OFFSET(G14,1,0,TaskRows,1)))</f>
        <v>44</v>
      </c>
      <c r="H10" s="72">
        <f t="shared" ca="1" si="0"/>
        <v>39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24</v>
      </c>
      <c r="N10" s="72">
        <f t="shared" ca="1" si="0"/>
        <v>21</v>
      </c>
      <c r="O10" s="72">
        <f t="shared" ca="1" si="0"/>
        <v>13</v>
      </c>
      <c r="P10" s="72">
        <f t="shared" ca="1" si="0"/>
        <v>8</v>
      </c>
      <c r="Q10" s="72">
        <f t="shared" ca="1" si="0"/>
        <v>2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6</v>
      </c>
      <c r="C11" t="s">
        <v>23</v>
      </c>
      <c r="D11" s="2">
        <f ca="1">IF(COUNTIF(F10:AD10,"&gt;0")=0,1,COUNTIF(F10:AD10,"&gt;0"))</f>
        <v>10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50.416666666666664</v>
      </c>
      <c r="H11" s="2">
        <f t="shared" ca="1" si="1"/>
        <v>45.833333333333336</v>
      </c>
      <c r="I11" s="2">
        <f t="shared" ca="1" si="1"/>
        <v>41.25</v>
      </c>
      <c r="J11" s="2">
        <f t="shared" ca="1" si="1"/>
        <v>36.666666666666671</v>
      </c>
      <c r="K11" s="2">
        <f t="shared" ca="1" si="1"/>
        <v>32.083333333333336</v>
      </c>
      <c r="L11" s="2">
        <f t="shared" ca="1" si="1"/>
        <v>27.5</v>
      </c>
      <c r="M11" s="2">
        <f t="shared" ca="1" si="1"/>
        <v>22.916666666666671</v>
      </c>
      <c r="N11" s="2">
        <f t="shared" ca="1" si="1"/>
        <v>18.333333333333336</v>
      </c>
      <c r="O11" s="2">
        <f t="shared" ca="1" si="1"/>
        <v>13.75</v>
      </c>
      <c r="P11" s="2">
        <f t="shared" ca="1" si="1"/>
        <v>9.1666666666666714</v>
      </c>
      <c r="Q11" s="2">
        <f t="shared" ca="1" si="1"/>
        <v>4.5833333333333357</v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128</v>
      </c>
      <c r="B14" s="73" t="s">
        <v>129</v>
      </c>
      <c r="C14" s="69" t="s">
        <v>130</v>
      </c>
      <c r="D14" s="69" t="s">
        <v>118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138</v>
      </c>
      <c r="B15" s="105" t="s">
        <v>96</v>
      </c>
      <c r="C15" s="104" t="s">
        <v>119</v>
      </c>
      <c r="D15" t="s">
        <v>78</v>
      </c>
      <c r="E15" s="2">
        <v>7</v>
      </c>
      <c r="F15" s="2">
        <v>6</v>
      </c>
      <c r="G15" s="2">
        <v>5</v>
      </c>
      <c r="H15" s="2">
        <v>4</v>
      </c>
      <c r="I15" s="2">
        <v>3</v>
      </c>
      <c r="J15" s="34">
        <v>2</v>
      </c>
      <c r="K15" s="106"/>
      <c r="L15" s="106"/>
      <c r="M15" s="34">
        <v>1</v>
      </c>
      <c r="N15" s="34">
        <v>0</v>
      </c>
    </row>
    <row r="16" spans="1:30" x14ac:dyDescent="0.25">
      <c r="A16" s="104" t="s">
        <v>136</v>
      </c>
      <c r="B16" s="105" t="s">
        <v>96</v>
      </c>
      <c r="C16" s="104" t="s">
        <v>119</v>
      </c>
      <c r="D16" t="s">
        <v>78</v>
      </c>
      <c r="E16" s="2">
        <v>12</v>
      </c>
      <c r="F16" s="2">
        <v>11</v>
      </c>
      <c r="G16" s="2">
        <v>10</v>
      </c>
      <c r="H16" s="2">
        <v>9</v>
      </c>
      <c r="I16" s="2">
        <v>7</v>
      </c>
      <c r="J16" s="34">
        <v>4</v>
      </c>
      <c r="K16" s="106"/>
      <c r="L16" s="106"/>
      <c r="M16" s="34">
        <v>0</v>
      </c>
    </row>
    <row r="17" spans="1:30" x14ac:dyDescent="0.25">
      <c r="A17" s="104" t="s">
        <v>137</v>
      </c>
      <c r="B17" s="105" t="s">
        <v>96</v>
      </c>
      <c r="C17" s="104" t="s">
        <v>119</v>
      </c>
      <c r="D17" t="s">
        <v>78</v>
      </c>
      <c r="E17" s="2">
        <v>7</v>
      </c>
      <c r="F17" s="2">
        <v>6</v>
      </c>
      <c r="G17" s="2">
        <v>5</v>
      </c>
      <c r="H17" s="2">
        <v>4</v>
      </c>
      <c r="I17" s="2">
        <v>3</v>
      </c>
      <c r="J17" s="34">
        <v>2</v>
      </c>
      <c r="K17" s="106"/>
      <c r="L17" s="106"/>
      <c r="M17" s="34">
        <v>2</v>
      </c>
      <c r="N17" s="34">
        <v>2</v>
      </c>
      <c r="O17" s="34">
        <v>1</v>
      </c>
    </row>
    <row r="18" spans="1:30" x14ac:dyDescent="0.25">
      <c r="A18" s="102" t="s">
        <v>140</v>
      </c>
      <c r="B18" s="105" t="s">
        <v>96</v>
      </c>
      <c r="C18" s="104" t="s">
        <v>119</v>
      </c>
      <c r="D18" t="s">
        <v>78</v>
      </c>
      <c r="E18" s="34">
        <v>9</v>
      </c>
      <c r="F18" s="34">
        <v>7</v>
      </c>
      <c r="G18" s="34">
        <v>6</v>
      </c>
      <c r="H18" s="34">
        <v>5</v>
      </c>
      <c r="I18" s="34">
        <v>5</v>
      </c>
      <c r="J18" s="34">
        <v>5</v>
      </c>
      <c r="K18" s="106"/>
      <c r="L18" s="106"/>
      <c r="M18" s="34">
        <v>4</v>
      </c>
      <c r="N18" s="34">
        <v>4</v>
      </c>
      <c r="O18" s="34">
        <v>4</v>
      </c>
      <c r="P18" s="34">
        <v>2</v>
      </c>
      <c r="Q18" s="34">
        <v>0</v>
      </c>
      <c r="AC18" s="34" t="str">
        <f t="shared" ref="AC18:AD30" si="4">IF(OR(AC$14="",$E18=""),"",AB18)</f>
        <v/>
      </c>
      <c r="AD18" s="34" t="str">
        <f t="shared" si="4"/>
        <v/>
      </c>
    </row>
    <row r="19" spans="1:30" x14ac:dyDescent="0.25">
      <c r="A19" s="102" t="s">
        <v>139</v>
      </c>
      <c r="B19" s="105" t="s">
        <v>96</v>
      </c>
      <c r="C19" s="104" t="s">
        <v>119</v>
      </c>
      <c r="D19" t="s">
        <v>78</v>
      </c>
      <c r="E19" s="34">
        <v>10</v>
      </c>
      <c r="F19" s="34">
        <v>9</v>
      </c>
      <c r="G19" s="34">
        <v>8</v>
      </c>
      <c r="H19" s="34">
        <v>7</v>
      </c>
      <c r="I19" s="34">
        <v>7</v>
      </c>
      <c r="J19" s="34">
        <v>7</v>
      </c>
      <c r="K19" s="106"/>
      <c r="L19" s="106"/>
      <c r="M19" s="34">
        <v>7</v>
      </c>
      <c r="N19" s="34">
        <v>5</v>
      </c>
      <c r="O19" s="34">
        <v>4</v>
      </c>
      <c r="P19" s="34">
        <v>2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141</v>
      </c>
      <c r="B20" s="105" t="s">
        <v>96</v>
      </c>
      <c r="C20" s="104" t="s">
        <v>119</v>
      </c>
      <c r="D20" t="s">
        <v>78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M20" s="34">
        <v>10</v>
      </c>
      <c r="N20" s="34">
        <v>10</v>
      </c>
      <c r="O20" s="34">
        <v>4</v>
      </c>
      <c r="P20" s="34">
        <v>4</v>
      </c>
      <c r="Q20" s="34">
        <v>2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/>
      <c r="C21"/>
    </row>
    <row r="22" spans="1:30" x14ac:dyDescent="0.25">
      <c r="A22" s="32"/>
      <c r="C22"/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</row>
    <row r="32" spans="1:30" x14ac:dyDescent="0.25">
      <c r="A32" s="32"/>
      <c r="C32"/>
      <c r="AC32" s="34" t="str">
        <f t="shared" ref="AC32:AD47" si="5">IF(OR(AC$14="",$E32=""),"",AB32)</f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AC34" s="34" t="str">
        <f t="shared" si="5"/>
        <v/>
      </c>
      <c r="AD34" s="34" t="str">
        <f t="shared" si="5"/>
        <v/>
      </c>
    </row>
    <row r="35" spans="1:30" x14ac:dyDescent="0.25">
      <c r="A35" s="32"/>
      <c r="C35"/>
      <c r="AC35" s="34" t="str">
        <f t="shared" si="5"/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D37" s="35" t="str">
        <f t="shared" ref="D37:D60" si="6">IF(A37&lt;&gt;"","Planned","")</f>
        <v/>
      </c>
      <c r="F37" s="34" t="str">
        <f t="shared" ref="F37:F59" si="7">IF(OR(F$14="",$E37=""),"",E37)</f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5"/>
        <v/>
      </c>
      <c r="AD47" s="34" t="str">
        <f t="shared" si="5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ref="AC48:AD59" si="8">IF(OR(AC$14="",$E48=""),"",AB48)</f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G58" s="34" t="str">
        <f t="shared" ref="G58:U58" si="9">IF(OR(G$14="",$E58=""),"",F58)</f>
        <v/>
      </c>
      <c r="H58" s="34" t="str">
        <f t="shared" si="9"/>
        <v/>
      </c>
      <c r="I58" s="34" t="str">
        <f t="shared" si="9"/>
        <v/>
      </c>
      <c r="J58" s="34" t="str">
        <f t="shared" si="9"/>
        <v/>
      </c>
      <c r="K58" s="34" t="str">
        <f t="shared" si="9"/>
        <v/>
      </c>
      <c r="L58" s="34" t="str">
        <f t="shared" si="9"/>
        <v/>
      </c>
      <c r="M58" s="34" t="str">
        <f t="shared" si="9"/>
        <v/>
      </c>
      <c r="N58" s="34" t="str">
        <f t="shared" si="9"/>
        <v/>
      </c>
      <c r="O58" s="34" t="str">
        <f t="shared" si="9"/>
        <v/>
      </c>
      <c r="P58" s="34" t="str">
        <f t="shared" si="9"/>
        <v/>
      </c>
      <c r="Q58" s="34" t="str">
        <f t="shared" si="9"/>
        <v/>
      </c>
      <c r="R58" s="34" t="str">
        <f t="shared" si="9"/>
        <v/>
      </c>
      <c r="S58" s="34" t="str">
        <f t="shared" si="9"/>
        <v/>
      </c>
      <c r="T58" s="34" t="str">
        <f t="shared" si="9"/>
        <v/>
      </c>
      <c r="U58" s="34" t="str">
        <f t="shared" si="9"/>
        <v/>
      </c>
      <c r="V58" s="34" t="str">
        <f t="shared" ref="V58:AB59" si="10">IF(OR(V$14="",$E58=""),"",U58)</f>
        <v/>
      </c>
      <c r="W58" s="34" t="str">
        <f t="shared" si="10"/>
        <v/>
      </c>
      <c r="X58" s="34" t="str">
        <f t="shared" si="10"/>
        <v/>
      </c>
      <c r="Y58" s="34" t="str">
        <f t="shared" si="10"/>
        <v/>
      </c>
      <c r="Z58" s="34" t="str">
        <f t="shared" si="10"/>
        <v/>
      </c>
      <c r="AA58" s="34" t="str">
        <f t="shared" si="10"/>
        <v/>
      </c>
      <c r="AB58" s="34" t="str">
        <f t="shared" si="10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G59" s="34" t="str">
        <f t="shared" ref="G59:U59" si="11">IF(OR(G$14="",$E59=""),"",F59)</f>
        <v/>
      </c>
      <c r="H59" s="34" t="str">
        <f t="shared" si="11"/>
        <v/>
      </c>
      <c r="I59" s="34" t="str">
        <f t="shared" si="11"/>
        <v/>
      </c>
      <c r="J59" s="34" t="str">
        <f t="shared" si="11"/>
        <v/>
      </c>
      <c r="K59" s="34" t="str">
        <f t="shared" si="11"/>
        <v/>
      </c>
      <c r="L59" s="34" t="str">
        <f t="shared" si="11"/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34" t="str">
        <f t="shared" si="11"/>
        <v/>
      </c>
      <c r="R59" s="34" t="str">
        <f t="shared" si="11"/>
        <v/>
      </c>
      <c r="S59" s="34" t="str">
        <f t="shared" si="11"/>
        <v/>
      </c>
      <c r="T59" s="34" t="str">
        <f t="shared" si="11"/>
        <v/>
      </c>
      <c r="U59" s="34" t="str">
        <f t="shared" si="11"/>
        <v/>
      </c>
      <c r="V59" s="34" t="str">
        <f t="shared" si="10"/>
        <v/>
      </c>
      <c r="W59" s="34" t="str">
        <f t="shared" si="10"/>
        <v/>
      </c>
      <c r="X59" s="34" t="str">
        <f t="shared" si="10"/>
        <v/>
      </c>
      <c r="Y59" s="34" t="str">
        <f t="shared" si="10"/>
        <v/>
      </c>
      <c r="Z59" s="34" t="str">
        <f t="shared" si="10"/>
        <v/>
      </c>
      <c r="AA59" s="34" t="str">
        <f t="shared" si="10"/>
        <v/>
      </c>
      <c r="AB59" s="34" t="str">
        <f t="shared" si="10"/>
        <v/>
      </c>
      <c r="AC59" s="34" t="str">
        <f t="shared" si="8"/>
        <v/>
      </c>
      <c r="AD59" s="34" t="str">
        <f t="shared" si="8"/>
        <v/>
      </c>
    </row>
    <row r="60" spans="3:30" x14ac:dyDescent="0.25">
      <c r="C60"/>
      <c r="D60" s="35" t="str">
        <f t="shared" si="6"/>
        <v/>
      </c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conditionalFormatting sqref="A15:AD54">
    <cfRule type="expression" dxfId="90" priority="1" stopIfTrue="1">
      <formula>$D15="Done"</formula>
    </cfRule>
    <cfRule type="expression" dxfId="89" priority="2" stopIfTrue="1">
      <formula>$D15="Ongoing"</formula>
    </cfRule>
  </conditionalFormatting>
  <dataValidations count="1">
    <dataValidation type="list" allowBlank="1" showInputMessage="1" sqref="D3:D8 D15:D60" xr:uid="{340B9028-3118-43B0-B9E5-544DB130C86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3154680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3543300</xdr:colOff>
                    <xdr:row>5</xdr:row>
                    <xdr:rowOff>121920</xdr:rowOff>
                  </from>
                  <to>
                    <xdr:col>2</xdr:col>
                    <xdr:colOff>464820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EA46-5F2B-49BB-BA08-828C9FCE13D4}">
  <sheetPr codeName="Sheet8"/>
  <dimension ref="A1:AD83"/>
  <sheetViews>
    <sheetView showGridLines="0" showRowColHeaders="0" zoomScaleNormal="100" workbookViewId="0">
      <pane ySplit="14" topLeftCell="A15" activePane="bottomLeft" state="frozen"/>
      <selection pane="bottomLeft" activeCell="B16" sqref="B16"/>
    </sheetView>
  </sheetViews>
  <sheetFormatPr baseColWidth="10" defaultColWidth="9.109375" defaultRowHeight="13.2" x14ac:dyDescent="0.25"/>
  <cols>
    <col min="1" max="1" width="47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3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134</v>
      </c>
      <c r="B9" s="70">
        <v>14</v>
      </c>
      <c r="C9" s="69"/>
      <c r="D9" s="71"/>
      <c r="E9" s="69" t="s">
        <v>132</v>
      </c>
      <c r="F9" s="69" t="s">
        <v>133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135</v>
      </c>
      <c r="B10" s="70">
        <v>12</v>
      </c>
      <c r="C10" s="69" t="s">
        <v>115</v>
      </c>
      <c r="D10" s="69" t="s">
        <v>131</v>
      </c>
      <c r="E10" s="72">
        <f ca="1">SUM(OFFSET(E14,1,0,TaskRows,1))</f>
        <v>74</v>
      </c>
      <c r="F10" s="72">
        <f ca="1">IF(AND(SUM(OFFSET(F14,1,0,TaskRows,1))=0),0,SUM(OFFSET(F14,1,0,TaskRows,1)))</f>
        <v>72</v>
      </c>
      <c r="G10" s="72">
        <f t="shared" ref="G10:AD10" ca="1" si="0">IF(AND(SUM(OFFSET(G14,1,0,TaskRows,1))=0),"",SUM(OFFSET(G14,1,0,TaskRows,1)))</f>
        <v>68</v>
      </c>
      <c r="H10" s="72">
        <f t="shared" ca="1" si="0"/>
        <v>63</v>
      </c>
      <c r="I10" s="72">
        <f t="shared" ca="1" si="0"/>
        <v>60</v>
      </c>
      <c r="J10" s="72">
        <f t="shared" ca="1" si="0"/>
        <v>55</v>
      </c>
      <c r="K10" s="72">
        <f t="shared" ca="1" si="0"/>
        <v>47</v>
      </c>
      <c r="L10" s="72" t="str">
        <f t="shared" ca="1" si="0"/>
        <v/>
      </c>
      <c r="M10" s="72">
        <f t="shared" ca="1" si="0"/>
        <v>42</v>
      </c>
      <c r="N10" s="72">
        <f t="shared" ca="1" si="0"/>
        <v>37</v>
      </c>
      <c r="O10" s="72">
        <f t="shared" ca="1" si="0"/>
        <v>31</v>
      </c>
      <c r="P10" s="72">
        <f t="shared" ca="1" si="0"/>
        <v>25</v>
      </c>
      <c r="Q10" s="72">
        <f t="shared" ca="1" si="0"/>
        <v>17</v>
      </c>
      <c r="R10" s="72">
        <f t="shared" ca="1" si="0"/>
        <v>10</v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9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74</v>
      </c>
      <c r="G11" s="2">
        <f t="shared" ref="G11:AD11" ca="1" si="1">IF(G14="","",TotalEffort-TotalEffort/(ImplementationDays)*(G14-1))</f>
        <v>68.714285714285708</v>
      </c>
      <c r="H11" s="2">
        <f t="shared" ca="1" si="1"/>
        <v>63.428571428571431</v>
      </c>
      <c r="I11" s="2">
        <f t="shared" ca="1" si="1"/>
        <v>58.142857142857139</v>
      </c>
      <c r="J11" s="2">
        <f t="shared" ca="1" si="1"/>
        <v>52.857142857142861</v>
      </c>
      <c r="K11" s="2">
        <f t="shared" ca="1" si="1"/>
        <v>47.571428571428569</v>
      </c>
      <c r="L11" s="2">
        <f t="shared" ca="1" si="1"/>
        <v>42.285714285714285</v>
      </c>
      <c r="M11" s="2">
        <f t="shared" ca="1" si="1"/>
        <v>37</v>
      </c>
      <c r="N11" s="2">
        <f t="shared" ca="1" si="1"/>
        <v>31.714285714285715</v>
      </c>
      <c r="O11" s="2">
        <f t="shared" ca="1" si="1"/>
        <v>26.428571428571431</v>
      </c>
      <c r="P11" s="2">
        <f t="shared" ca="1" si="1"/>
        <v>21.142857142857146</v>
      </c>
      <c r="Q11" s="2">
        <f t="shared" ca="1" si="1"/>
        <v>15.857142857142861</v>
      </c>
      <c r="R11" s="2">
        <f t="shared" ca="1" si="1"/>
        <v>10.571428571428569</v>
      </c>
      <c r="S11" s="2">
        <f t="shared" ca="1" si="1"/>
        <v>5.2857142857142918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128</v>
      </c>
      <c r="B14" s="73" t="s">
        <v>129</v>
      </c>
      <c r="C14" s="69" t="s">
        <v>130</v>
      </c>
      <c r="D14" s="69" t="s">
        <v>118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142</v>
      </c>
      <c r="B15" s="105" t="s">
        <v>100</v>
      </c>
      <c r="C15" s="104" t="s">
        <v>119</v>
      </c>
      <c r="D15" t="s">
        <v>78</v>
      </c>
      <c r="E15" s="2">
        <v>6</v>
      </c>
      <c r="F15" s="2">
        <v>4</v>
      </c>
      <c r="G15" s="2">
        <v>0</v>
      </c>
      <c r="H15" s="2"/>
      <c r="I15" s="2"/>
      <c r="K15" s="106"/>
      <c r="M15" s="106"/>
    </row>
    <row r="16" spans="1:30" x14ac:dyDescent="0.25">
      <c r="A16" s="104" t="s">
        <v>143</v>
      </c>
      <c r="B16" s="105" t="s">
        <v>100</v>
      </c>
      <c r="C16" s="104" t="s">
        <v>119</v>
      </c>
      <c r="D16" t="s">
        <v>78</v>
      </c>
      <c r="E16" s="2">
        <v>5</v>
      </c>
      <c r="F16" s="2">
        <v>5</v>
      </c>
      <c r="G16" s="2">
        <v>5</v>
      </c>
      <c r="H16" s="2">
        <v>0</v>
      </c>
      <c r="I16" s="2"/>
      <c r="K16" s="106"/>
      <c r="M16" s="106"/>
    </row>
    <row r="17" spans="1:30" x14ac:dyDescent="0.25">
      <c r="A17" s="104" t="s">
        <v>144</v>
      </c>
      <c r="B17" s="105" t="s">
        <v>100</v>
      </c>
      <c r="C17" s="104" t="s">
        <v>119</v>
      </c>
      <c r="D17" t="s">
        <v>78</v>
      </c>
      <c r="E17" s="2">
        <v>12</v>
      </c>
      <c r="F17" s="2">
        <v>12</v>
      </c>
      <c r="G17" s="2">
        <v>12</v>
      </c>
      <c r="H17" s="2">
        <v>12</v>
      </c>
      <c r="I17" s="2">
        <v>9</v>
      </c>
      <c r="J17" s="2">
        <v>4</v>
      </c>
      <c r="K17" s="2">
        <v>0</v>
      </c>
      <c r="M17" s="2"/>
    </row>
    <row r="18" spans="1:30" x14ac:dyDescent="0.25">
      <c r="A18" s="102" t="s">
        <v>145</v>
      </c>
      <c r="B18" s="105" t="s">
        <v>100</v>
      </c>
      <c r="C18" s="104" t="s">
        <v>119</v>
      </c>
      <c r="D18" t="s">
        <v>78</v>
      </c>
      <c r="E18" s="34">
        <v>4</v>
      </c>
      <c r="F18" s="34">
        <v>4</v>
      </c>
      <c r="G18" s="34">
        <v>4</v>
      </c>
      <c r="H18" s="34">
        <v>4</v>
      </c>
      <c r="I18" s="34">
        <v>4</v>
      </c>
      <c r="J18" s="34">
        <v>4</v>
      </c>
      <c r="K18" s="34">
        <v>0</v>
      </c>
      <c r="AC18" s="34" t="str">
        <f t="shared" ref="AC18:AD20" si="4">IF(OR(AC$14="",$E18=""),"",AB18)</f>
        <v/>
      </c>
      <c r="AD18" s="34" t="str">
        <f t="shared" si="4"/>
        <v/>
      </c>
    </row>
    <row r="19" spans="1:30" x14ac:dyDescent="0.25">
      <c r="A19" s="102" t="s">
        <v>146</v>
      </c>
      <c r="B19" s="105" t="s">
        <v>100</v>
      </c>
      <c r="C19" s="104" t="s">
        <v>119</v>
      </c>
      <c r="D19" t="s">
        <v>78</v>
      </c>
      <c r="E19" s="34">
        <v>10</v>
      </c>
      <c r="F19" s="34">
        <v>10</v>
      </c>
      <c r="G19" s="34">
        <v>10</v>
      </c>
      <c r="H19" s="34">
        <v>10</v>
      </c>
      <c r="I19" s="34">
        <v>10</v>
      </c>
      <c r="J19" s="34">
        <v>10</v>
      </c>
      <c r="K19" s="34">
        <v>10</v>
      </c>
      <c r="M19" s="34">
        <v>5</v>
      </c>
      <c r="N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147</v>
      </c>
      <c r="B20" s="105" t="s">
        <v>100</v>
      </c>
      <c r="C20" s="104" t="s">
        <v>119</v>
      </c>
      <c r="D20" t="s">
        <v>78</v>
      </c>
      <c r="E20" s="34">
        <v>12</v>
      </c>
      <c r="F20" s="34">
        <v>12</v>
      </c>
      <c r="G20" s="34">
        <v>12</v>
      </c>
      <c r="H20" s="34">
        <v>12</v>
      </c>
      <c r="I20" s="34">
        <v>12</v>
      </c>
      <c r="J20" s="34">
        <v>12</v>
      </c>
      <c r="K20" s="34">
        <v>12</v>
      </c>
      <c r="M20" s="34">
        <v>12</v>
      </c>
      <c r="N20" s="34">
        <v>12</v>
      </c>
      <c r="O20" s="34">
        <v>6</v>
      </c>
      <c r="P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148</v>
      </c>
      <c r="B21" s="105" t="s">
        <v>100</v>
      </c>
      <c r="C21" s="104" t="s">
        <v>119</v>
      </c>
      <c r="D21" t="s">
        <v>78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34">
        <v>5</v>
      </c>
      <c r="M21" s="34">
        <v>5</v>
      </c>
      <c r="N21" s="34">
        <v>5</v>
      </c>
      <c r="O21" s="34">
        <v>5</v>
      </c>
      <c r="P21" s="34">
        <v>5</v>
      </c>
      <c r="Q21" s="34">
        <v>0</v>
      </c>
    </row>
    <row r="22" spans="1:30" x14ac:dyDescent="0.25">
      <c r="A22" s="102" t="s">
        <v>150</v>
      </c>
      <c r="B22" s="105" t="s">
        <v>100</v>
      </c>
      <c r="C22" s="104" t="s">
        <v>119</v>
      </c>
      <c r="D22" t="s">
        <v>78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34">
        <v>10</v>
      </c>
      <c r="M22" s="34">
        <v>10</v>
      </c>
      <c r="N22" s="34">
        <v>10</v>
      </c>
      <c r="O22" s="34">
        <v>10</v>
      </c>
      <c r="P22" s="34">
        <v>10</v>
      </c>
      <c r="Q22" s="34">
        <v>7</v>
      </c>
      <c r="R22" s="34">
        <v>0</v>
      </c>
      <c r="AC22" s="34" t="str">
        <f t="shared" ref="AC22:AD53" si="5">IF(OR(AC$14="",$E22=""),"",AB22)</f>
        <v/>
      </c>
      <c r="AD22" s="34" t="str">
        <f t="shared" si="5"/>
        <v/>
      </c>
    </row>
    <row r="23" spans="1:30" x14ac:dyDescent="0.25">
      <c r="A23" s="102" t="s">
        <v>149</v>
      </c>
      <c r="B23" s="105" t="s">
        <v>100</v>
      </c>
      <c r="C23" s="104" t="s">
        <v>119</v>
      </c>
      <c r="D23" t="s">
        <v>78</v>
      </c>
      <c r="E23" s="34">
        <v>10</v>
      </c>
      <c r="F23" s="34">
        <v>10</v>
      </c>
      <c r="G23" s="34">
        <v>10</v>
      </c>
      <c r="H23" s="34">
        <v>10</v>
      </c>
      <c r="I23" s="34">
        <v>10</v>
      </c>
      <c r="J23" s="34">
        <v>10</v>
      </c>
      <c r="K23" s="34">
        <v>10</v>
      </c>
      <c r="M23" s="34">
        <v>10</v>
      </c>
      <c r="N23" s="34">
        <v>10</v>
      </c>
      <c r="O23" s="34">
        <v>10</v>
      </c>
      <c r="P23" s="34">
        <v>10</v>
      </c>
      <c r="Q23" s="34">
        <v>10</v>
      </c>
      <c r="R23" s="34">
        <v>10</v>
      </c>
      <c r="S23" s="34">
        <v>0</v>
      </c>
      <c r="AC23" s="34" t="str">
        <f t="shared" si="5"/>
        <v/>
      </c>
      <c r="AD23" s="34" t="str">
        <f t="shared" si="5"/>
        <v/>
      </c>
    </row>
    <row r="24" spans="1:30" x14ac:dyDescent="0.25">
      <c r="A24" s="32"/>
      <c r="C24"/>
      <c r="D24" s="35" t="str">
        <f t="shared" ref="D24:D46" si="6">IF(A24&lt;&gt;"","Planned","")</f>
        <v/>
      </c>
      <c r="F24" s="34" t="str">
        <f t="shared" ref="F24:F46" si="7">IF(OR(F$14="",$E24=""),"",E24)</f>
        <v/>
      </c>
      <c r="AC24" s="34" t="str">
        <f t="shared" si="5"/>
        <v/>
      </c>
      <c r="AD24" s="34" t="str">
        <f t="shared" si="5"/>
        <v/>
      </c>
    </row>
    <row r="25" spans="1:30" x14ac:dyDescent="0.25">
      <c r="C25"/>
      <c r="D25" s="35" t="str">
        <f t="shared" si="6"/>
        <v/>
      </c>
      <c r="F25" s="34" t="str">
        <f t="shared" si="7"/>
        <v/>
      </c>
      <c r="AC25" s="34" t="str">
        <f t="shared" si="5"/>
        <v/>
      </c>
      <c r="AD25" s="34" t="str">
        <f t="shared" si="5"/>
        <v/>
      </c>
    </row>
    <row r="26" spans="1:30" x14ac:dyDescent="0.25">
      <c r="C26"/>
      <c r="D26" s="35" t="str">
        <f t="shared" si="6"/>
        <v/>
      </c>
      <c r="F26" s="34" t="str">
        <f t="shared" si="7"/>
        <v/>
      </c>
      <c r="AC26" s="34" t="str">
        <f t="shared" si="5"/>
        <v/>
      </c>
      <c r="AD26" s="34" t="str">
        <f t="shared" si="5"/>
        <v/>
      </c>
    </row>
    <row r="27" spans="1:30" x14ac:dyDescent="0.25">
      <c r="C27"/>
      <c r="D27" s="35" t="str">
        <f t="shared" si="6"/>
        <v/>
      </c>
      <c r="F27" s="34" t="str">
        <f t="shared" si="7"/>
        <v/>
      </c>
      <c r="AC27" s="34" t="str">
        <f t="shared" si="5"/>
        <v/>
      </c>
      <c r="AD27" s="34" t="str">
        <f t="shared" si="5"/>
        <v/>
      </c>
    </row>
    <row r="28" spans="1:30" x14ac:dyDescent="0.25">
      <c r="C28"/>
      <c r="D28" s="35" t="str">
        <f t="shared" si="6"/>
        <v/>
      </c>
      <c r="F28" s="34" t="str">
        <f t="shared" si="7"/>
        <v/>
      </c>
      <c r="AC28" s="34" t="str">
        <f t="shared" si="5"/>
        <v/>
      </c>
      <c r="AD28" s="34" t="str">
        <f t="shared" si="5"/>
        <v/>
      </c>
    </row>
    <row r="29" spans="1:30" x14ac:dyDescent="0.25">
      <c r="C29"/>
      <c r="D29" s="35" t="str">
        <f t="shared" si="6"/>
        <v/>
      </c>
      <c r="F29" s="34" t="str">
        <f t="shared" si="7"/>
        <v/>
      </c>
      <c r="AC29" s="34" t="str">
        <f t="shared" si="5"/>
        <v/>
      </c>
      <c r="AD29" s="34" t="str">
        <f t="shared" si="5"/>
        <v/>
      </c>
    </row>
    <row r="30" spans="1:30" x14ac:dyDescent="0.25">
      <c r="C30"/>
      <c r="D30" s="35" t="str">
        <f t="shared" si="6"/>
        <v/>
      </c>
      <c r="F30" s="34" t="str">
        <f t="shared" si="7"/>
        <v/>
      </c>
      <c r="AC30" s="34" t="str">
        <f t="shared" si="5"/>
        <v/>
      </c>
      <c r="AD30" s="34" t="str">
        <f t="shared" si="5"/>
        <v/>
      </c>
    </row>
    <row r="31" spans="1:30" x14ac:dyDescent="0.25">
      <c r="C31"/>
      <c r="D31" s="35" t="str">
        <f t="shared" si="6"/>
        <v/>
      </c>
      <c r="F31" s="34" t="str">
        <f t="shared" si="7"/>
        <v/>
      </c>
      <c r="AC31" s="34" t="str">
        <f t="shared" si="5"/>
        <v/>
      </c>
      <c r="AD31" s="34" t="str">
        <f t="shared" si="5"/>
        <v/>
      </c>
    </row>
    <row r="32" spans="1:30" x14ac:dyDescent="0.25">
      <c r="C32"/>
      <c r="D32" s="35" t="str">
        <f t="shared" si="6"/>
        <v/>
      </c>
      <c r="F32" s="34" t="str">
        <f t="shared" si="7"/>
        <v/>
      </c>
      <c r="AC32" s="34" t="str">
        <f t="shared" si="5"/>
        <v/>
      </c>
      <c r="AD32" s="34" t="str">
        <f t="shared" si="5"/>
        <v/>
      </c>
    </row>
    <row r="33" spans="1:30" x14ac:dyDescent="0.25">
      <c r="C33"/>
      <c r="D33" s="35" t="str">
        <f t="shared" si="6"/>
        <v/>
      </c>
      <c r="F33" s="34" t="str">
        <f t="shared" si="7"/>
        <v/>
      </c>
      <c r="AC33" s="34" t="str">
        <f t="shared" si="5"/>
        <v/>
      </c>
      <c r="AD33" s="34" t="str">
        <f t="shared" si="5"/>
        <v/>
      </c>
    </row>
    <row r="34" spans="1:30" x14ac:dyDescent="0.25">
      <c r="C34"/>
      <c r="D34" s="35" t="str">
        <f t="shared" si="6"/>
        <v/>
      </c>
      <c r="F34" s="34" t="str">
        <f t="shared" si="7"/>
        <v/>
      </c>
      <c r="AC34" s="34" t="str">
        <f t="shared" si="5"/>
        <v/>
      </c>
      <c r="AD34" s="34" t="str">
        <f t="shared" si="5"/>
        <v/>
      </c>
    </row>
    <row r="35" spans="1:30" x14ac:dyDescent="0.25">
      <c r="C35"/>
      <c r="D35" s="35" t="str">
        <f t="shared" si="6"/>
        <v/>
      </c>
      <c r="F35" s="34" t="str">
        <f t="shared" si="7"/>
        <v/>
      </c>
      <c r="AC35" s="34" t="str">
        <f t="shared" si="5"/>
        <v/>
      </c>
      <c r="AD35" s="34" t="str">
        <f t="shared" si="5"/>
        <v/>
      </c>
    </row>
    <row r="36" spans="1:30" x14ac:dyDescent="0.25">
      <c r="C36"/>
      <c r="D36" s="35" t="str">
        <f t="shared" si="6"/>
        <v/>
      </c>
      <c r="F36" s="34" t="str">
        <f t="shared" si="7"/>
        <v/>
      </c>
      <c r="AC36" s="34" t="str">
        <f t="shared" si="5"/>
        <v/>
      </c>
      <c r="AD36" s="34" t="str">
        <f t="shared" si="5"/>
        <v/>
      </c>
    </row>
    <row r="37" spans="1:30" x14ac:dyDescent="0.25">
      <c r="C37"/>
      <c r="D37" s="35" t="str">
        <f t="shared" si="6"/>
        <v/>
      </c>
      <c r="F37" s="34" t="str">
        <f t="shared" si="7"/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G45" s="34" t="str">
        <f t="shared" ref="G45:AB45" si="8">IF(OR(G$14="",$E45=""),"",F45)</f>
        <v/>
      </c>
      <c r="H45" s="34" t="str">
        <f t="shared" si="8"/>
        <v/>
      </c>
      <c r="I45" s="34" t="str">
        <f t="shared" si="8"/>
        <v/>
      </c>
      <c r="J45" s="34" t="str">
        <f t="shared" si="8"/>
        <v/>
      </c>
      <c r="K45" s="34" t="str">
        <f t="shared" si="8"/>
        <v/>
      </c>
      <c r="L45" s="34" t="str">
        <f t="shared" si="8"/>
        <v/>
      </c>
      <c r="M45" s="34" t="str">
        <f t="shared" si="8"/>
        <v/>
      </c>
      <c r="N45" s="34" t="str">
        <f t="shared" si="8"/>
        <v/>
      </c>
      <c r="O45" s="34" t="str">
        <f t="shared" si="8"/>
        <v/>
      </c>
      <c r="P45" s="34" t="str">
        <f t="shared" si="8"/>
        <v/>
      </c>
      <c r="Q45" s="34" t="str">
        <f t="shared" si="8"/>
        <v/>
      </c>
      <c r="R45" s="34" t="str">
        <f t="shared" si="8"/>
        <v/>
      </c>
      <c r="S45" s="34" t="str">
        <f t="shared" si="8"/>
        <v/>
      </c>
      <c r="T45" s="34" t="str">
        <f t="shared" si="8"/>
        <v/>
      </c>
      <c r="U45" s="34" t="str">
        <f t="shared" si="8"/>
        <v/>
      </c>
      <c r="V45" s="34" t="str">
        <f t="shared" si="8"/>
        <v/>
      </c>
      <c r="W45" s="34" t="str">
        <f t="shared" si="8"/>
        <v/>
      </c>
      <c r="X45" s="34" t="str">
        <f t="shared" si="8"/>
        <v/>
      </c>
      <c r="Y45" s="34" t="str">
        <f t="shared" si="8"/>
        <v/>
      </c>
      <c r="Z45" s="34" t="str">
        <f t="shared" si="8"/>
        <v/>
      </c>
      <c r="AA45" s="34" t="str">
        <f t="shared" si="8"/>
        <v/>
      </c>
      <c r="AB45" s="34" t="str">
        <f t="shared" si="8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G46" s="34" t="str">
        <f t="shared" ref="G46:AB46" si="9">IF(OR(G$14="",$E46=""),"",F46)</f>
        <v/>
      </c>
      <c r="H46" s="34" t="str">
        <f t="shared" si="9"/>
        <v/>
      </c>
      <c r="I46" s="34" t="str">
        <f t="shared" si="9"/>
        <v/>
      </c>
      <c r="J46" s="34" t="str">
        <f t="shared" si="9"/>
        <v/>
      </c>
      <c r="K46" s="34" t="str">
        <f t="shared" si="9"/>
        <v/>
      </c>
      <c r="L46" s="34" t="str">
        <f t="shared" si="9"/>
        <v/>
      </c>
      <c r="M46" s="34" t="str">
        <f t="shared" si="9"/>
        <v/>
      </c>
      <c r="N46" s="34" t="str">
        <f t="shared" si="9"/>
        <v/>
      </c>
      <c r="O46" s="34" t="str">
        <f t="shared" si="9"/>
        <v/>
      </c>
      <c r="P46" s="34" t="str">
        <f t="shared" si="9"/>
        <v/>
      </c>
      <c r="Q46" s="34" t="str">
        <f t="shared" si="9"/>
        <v/>
      </c>
      <c r="R46" s="34" t="str">
        <f t="shared" si="9"/>
        <v/>
      </c>
      <c r="S46" s="34" t="str">
        <f t="shared" si="9"/>
        <v/>
      </c>
      <c r="T46" s="34" t="str">
        <f t="shared" si="9"/>
        <v/>
      </c>
      <c r="U46" s="34" t="str">
        <f t="shared" si="9"/>
        <v/>
      </c>
      <c r="V46" s="34" t="str">
        <f t="shared" si="9"/>
        <v/>
      </c>
      <c r="W46" s="34" t="str">
        <f t="shared" si="9"/>
        <v/>
      </c>
      <c r="X46" s="34" t="str">
        <f t="shared" si="9"/>
        <v/>
      </c>
      <c r="Y46" s="34" t="str">
        <f t="shared" si="9"/>
        <v/>
      </c>
      <c r="Z46" s="34" t="str">
        <f t="shared" si="9"/>
        <v/>
      </c>
      <c r="AA46" s="34" t="str">
        <f t="shared" si="9"/>
        <v/>
      </c>
      <c r="AB46" s="34" t="str">
        <f t="shared" si="9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A47" s="32"/>
      <c r="C47"/>
      <c r="AC47" s="34" t="str">
        <f t="shared" si="5"/>
        <v/>
      </c>
      <c r="AD47" s="34" t="str">
        <f t="shared" si="5"/>
        <v/>
      </c>
    </row>
    <row r="48" spans="1:30" x14ac:dyDescent="0.25">
      <c r="A48" s="32"/>
      <c r="C48"/>
      <c r="AC48" s="34" t="str">
        <f t="shared" si="5"/>
        <v/>
      </c>
      <c r="AD48" s="34" t="str">
        <f t="shared" si="5"/>
        <v/>
      </c>
    </row>
    <row r="49" spans="1:30" x14ac:dyDescent="0.25">
      <c r="A49" s="32"/>
      <c r="C49"/>
      <c r="AC49" s="34" t="str">
        <f t="shared" si="5"/>
        <v/>
      </c>
      <c r="AD49" s="34" t="str">
        <f t="shared" si="5"/>
        <v/>
      </c>
    </row>
    <row r="50" spans="1:30" x14ac:dyDescent="0.25">
      <c r="A50" s="32"/>
      <c r="C50"/>
      <c r="AC50" s="34" t="str">
        <f t="shared" si="5"/>
        <v/>
      </c>
      <c r="AD50" s="34" t="str">
        <f t="shared" si="5"/>
        <v/>
      </c>
    </row>
    <row r="51" spans="1:30" x14ac:dyDescent="0.25">
      <c r="A51" s="32"/>
      <c r="C51"/>
      <c r="AC51" s="34" t="str">
        <f t="shared" si="5"/>
        <v/>
      </c>
      <c r="AD51" s="34" t="str">
        <f t="shared" si="5"/>
        <v/>
      </c>
    </row>
    <row r="52" spans="1:30" x14ac:dyDescent="0.25">
      <c r="A52" s="32"/>
      <c r="C52"/>
      <c r="AC52" s="34" t="str">
        <f t="shared" si="5"/>
        <v/>
      </c>
      <c r="AD52" s="34" t="str">
        <f t="shared" si="5"/>
        <v/>
      </c>
    </row>
    <row r="53" spans="1:30" x14ac:dyDescent="0.25">
      <c r="A53" s="32"/>
      <c r="C53"/>
      <c r="AC53" s="34" t="str">
        <f t="shared" si="5"/>
        <v/>
      </c>
      <c r="AD53" s="34" t="str">
        <f t="shared" si="5"/>
        <v/>
      </c>
    </row>
    <row r="54" spans="1:30" x14ac:dyDescent="0.25">
      <c r="A54" s="32"/>
      <c r="C54"/>
    </row>
    <row r="55" spans="1:30" x14ac:dyDescent="0.25">
      <c r="A55" s="32"/>
      <c r="C55"/>
      <c r="AC55" s="34" t="str">
        <f t="shared" ref="AC55:AD59" si="10">IF(OR(AC$14="",$E55=""),"",AB55)</f>
        <v/>
      </c>
      <c r="AD55" s="34" t="str">
        <f t="shared" si="10"/>
        <v/>
      </c>
    </row>
    <row r="56" spans="1:30" x14ac:dyDescent="0.25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5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5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5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5">
      <c r="C60"/>
      <c r="D60" s="35" t="str">
        <f t="shared" ref="D60" si="11">IF(A60&lt;&gt;"","Planned","")</f>
        <v/>
      </c>
    </row>
    <row r="61" spans="1:30" x14ac:dyDescent="0.25">
      <c r="C61"/>
    </row>
    <row r="62" spans="1:30" x14ac:dyDescent="0.25">
      <c r="C62"/>
    </row>
    <row r="63" spans="1:30" x14ac:dyDescent="0.25">
      <c r="C63"/>
    </row>
    <row r="64" spans="1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sortState ref="A15:AD59">
    <sortCondition ref="B14"/>
    <sortCondition ref="D14"/>
  </sortState>
  <conditionalFormatting sqref="A24:AD54 A16:A21 A15:K15 M15:AD23 B16:K23">
    <cfRule type="expression" dxfId="88" priority="3" stopIfTrue="1">
      <formula>$D15="Done"</formula>
    </cfRule>
    <cfRule type="expression" dxfId="87" priority="4" stopIfTrue="1">
      <formula>$D15="Ongoing"</formula>
    </cfRule>
  </conditionalFormatting>
  <conditionalFormatting sqref="A23">
    <cfRule type="expression" dxfId="86" priority="17" stopIfTrue="1">
      <formula>$D22="Done"</formula>
    </cfRule>
    <cfRule type="expression" dxfId="85" priority="18" stopIfTrue="1">
      <formula>$D22="Ongoing"</formula>
    </cfRule>
  </conditionalFormatting>
  <conditionalFormatting sqref="A22">
    <cfRule type="expression" dxfId="84" priority="1" stopIfTrue="1">
      <formula>$D22="Done"</formula>
    </cfRule>
    <cfRule type="expression" dxfId="83" priority="2" stopIfTrue="1">
      <formula>$D22="Ongoing"</formula>
    </cfRule>
  </conditionalFormatting>
  <dataValidations count="1">
    <dataValidation type="list" allowBlank="1" showInputMessage="1" sqref="D3:D8 D15:D60" xr:uid="{A90CE193-B08A-4062-B928-8EF127A0042D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3154680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3543300</xdr:colOff>
                    <xdr:row>5</xdr:row>
                    <xdr:rowOff>121920</xdr:rowOff>
                  </from>
                  <to>
                    <xdr:col>2</xdr:col>
                    <xdr:colOff>464820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F370-93AF-42EB-B365-C2FC4E8CC2B0}">
  <sheetPr codeName="Sheet9"/>
  <dimension ref="A1:AD80"/>
  <sheetViews>
    <sheetView showGridLines="0" zoomScale="85" zoomScaleNormal="85" workbookViewId="0">
      <pane ySplit="14" topLeftCell="A15" activePane="bottomLeft" state="frozen"/>
      <selection pane="bottomLeft" activeCell="M27" sqref="M27"/>
    </sheetView>
  </sheetViews>
  <sheetFormatPr baseColWidth="10" defaultColWidth="9.109375" defaultRowHeight="13.2" x14ac:dyDescent="0.25"/>
  <cols>
    <col min="1" max="1" width="49.88671875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4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134</v>
      </c>
      <c r="B9" s="70">
        <v>14</v>
      </c>
      <c r="C9" s="69"/>
      <c r="D9" s="71"/>
      <c r="E9" s="69" t="s">
        <v>132</v>
      </c>
      <c r="F9" s="69" t="s">
        <v>133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135</v>
      </c>
      <c r="B10" s="70">
        <v>14</v>
      </c>
      <c r="C10" s="69" t="s">
        <v>115</v>
      </c>
      <c r="D10" s="69" t="s">
        <v>131</v>
      </c>
      <c r="E10" s="72">
        <f ca="1">SUM(OFFSET(E14,1,0,TaskRows,1))</f>
        <v>60</v>
      </c>
      <c r="F10" s="72">
        <f ca="1">IF(AND(SUM(OFFSET(F14,1,0,TaskRows,1))=0),0,SUM(OFFSET(F14,1,0,TaskRows,1)))</f>
        <v>56</v>
      </c>
      <c r="G10" s="72">
        <f t="shared" ref="G10:AD10" ca="1" si="0">IF(AND(SUM(OFFSET(G14,1,0,TaskRows,1))=0),"",SUM(OFFSET(G14,1,0,TaskRows,1)))</f>
        <v>55</v>
      </c>
      <c r="H10" s="72">
        <f t="shared" ca="1" si="0"/>
        <v>47</v>
      </c>
      <c r="I10" s="72">
        <f t="shared" ca="1" si="0"/>
        <v>43</v>
      </c>
      <c r="J10" s="72">
        <f t="shared" ca="1" si="0"/>
        <v>39</v>
      </c>
      <c r="K10" s="72">
        <f t="shared" ca="1" si="0"/>
        <v>35</v>
      </c>
      <c r="L10" s="72">
        <f t="shared" ca="1" si="0"/>
        <v>35</v>
      </c>
      <c r="M10" s="72">
        <f t="shared" ca="1" si="0"/>
        <v>30</v>
      </c>
      <c r="N10" s="72">
        <f t="shared" ca="1" si="0"/>
        <v>26</v>
      </c>
      <c r="O10" s="72">
        <f t="shared" ca="1" si="0"/>
        <v>21</v>
      </c>
      <c r="P10" s="72">
        <f t="shared" ca="1" si="0"/>
        <v>15</v>
      </c>
      <c r="Q10" s="72">
        <f t="shared" ca="1" si="0"/>
        <v>12</v>
      </c>
      <c r="R10" s="72">
        <f t="shared" ca="1" si="0"/>
        <v>7</v>
      </c>
      <c r="S10" s="72">
        <f t="shared" ca="1" si="0"/>
        <v>7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10</v>
      </c>
      <c r="C11" t="s">
        <v>23</v>
      </c>
      <c r="D11" s="2">
        <f ca="1">IF(COUNTIF(F10:AD10,"&gt;0")=0,1,COUNTIF(F10:AD10,"&gt;0"))</f>
        <v>14</v>
      </c>
      <c r="E11" s="2"/>
      <c r="F11" s="2">
        <f ca="1">IF(F14="","",$E10-$E10/($B9-1)*(F14-1))</f>
        <v>60</v>
      </c>
      <c r="G11" s="2">
        <f t="shared" ref="G11:AD11" ca="1" si="1">IF(G14="","",TotalEffort-TotalEffort/(ImplementationDays)*(G14-1))</f>
        <v>55.714285714285715</v>
      </c>
      <c r="H11" s="2">
        <f t="shared" ca="1" si="1"/>
        <v>51.428571428571431</v>
      </c>
      <c r="I11" s="2">
        <f t="shared" ca="1" si="1"/>
        <v>47.142857142857139</v>
      </c>
      <c r="J11" s="2">
        <f t="shared" ca="1" si="1"/>
        <v>42.857142857142861</v>
      </c>
      <c r="K11" s="2">
        <f t="shared" ca="1" si="1"/>
        <v>38.571428571428569</v>
      </c>
      <c r="L11" s="2">
        <f t="shared" ca="1" si="1"/>
        <v>34.285714285714285</v>
      </c>
      <c r="M11" s="2">
        <f t="shared" ca="1" si="1"/>
        <v>30</v>
      </c>
      <c r="N11" s="2">
        <f t="shared" ca="1" si="1"/>
        <v>25.714285714285715</v>
      </c>
      <c r="O11" s="2">
        <f t="shared" ca="1" si="1"/>
        <v>21.428571428571431</v>
      </c>
      <c r="P11" s="2">
        <f t="shared" ca="1" si="1"/>
        <v>17.142857142857146</v>
      </c>
      <c r="Q11" s="2">
        <f t="shared" ca="1" si="1"/>
        <v>12.857142857142861</v>
      </c>
      <c r="R11" s="2">
        <f t="shared" ca="1" si="1"/>
        <v>8.5714285714285694</v>
      </c>
      <c r="S11" s="2">
        <f t="shared" ca="1" si="1"/>
        <v>4.2857142857142847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56.257142857142853</v>
      </c>
      <c r="G12" s="2">
        <f t="shared" ca="1" si="2"/>
        <v>52.305494505494501</v>
      </c>
      <c r="H12" s="2">
        <f t="shared" ca="1" si="2"/>
        <v>48.353846153846149</v>
      </c>
      <c r="I12" s="2">
        <f t="shared" ca="1" si="2"/>
        <v>44.402197802197804</v>
      </c>
      <c r="J12" s="2">
        <f t="shared" ca="1" si="2"/>
        <v>40.450549450549445</v>
      </c>
      <c r="K12" s="2">
        <f t="shared" ca="1" si="2"/>
        <v>36.498901098901101</v>
      </c>
      <c r="L12" s="2">
        <f t="shared" ca="1" si="2"/>
        <v>32.547252747252749</v>
      </c>
      <c r="M12" s="2">
        <f t="shared" ca="1" si="2"/>
        <v>28.595604395604397</v>
      </c>
      <c r="N12" s="2">
        <f t="shared" ca="1" si="2"/>
        <v>24.643956043956045</v>
      </c>
      <c r="O12" s="2">
        <f t="shared" ca="1" si="2"/>
        <v>20.692307692307693</v>
      </c>
      <c r="P12" s="2">
        <f t="shared" ca="1" si="2"/>
        <v>16.740659340659342</v>
      </c>
      <c r="Q12" s="2">
        <f t="shared" ca="1" si="2"/>
        <v>12.789010989010997</v>
      </c>
      <c r="R12" s="2">
        <f t="shared" ca="1" si="2"/>
        <v>8.837362637362645</v>
      </c>
      <c r="S12" s="2">
        <f t="shared" ca="1" si="2"/>
        <v>4.8857142857142932</v>
      </c>
      <c r="T12" s="2">
        <f t="shared" ca="1" si="2"/>
        <v>0.93406593406594141</v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128</v>
      </c>
      <c r="B14" s="73" t="s">
        <v>129</v>
      </c>
      <c r="C14" s="69" t="s">
        <v>130</v>
      </c>
      <c r="D14" s="69" t="s">
        <v>118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2" t="s">
        <v>151</v>
      </c>
      <c r="B15" s="105" t="s">
        <v>101</v>
      </c>
      <c r="C15" s="104" t="s">
        <v>119</v>
      </c>
      <c r="D15" t="s">
        <v>78</v>
      </c>
      <c r="E15" s="34">
        <v>3</v>
      </c>
      <c r="F15" s="34">
        <v>0</v>
      </c>
      <c r="L15" s="102"/>
    </row>
    <row r="16" spans="1:30" x14ac:dyDescent="0.25">
      <c r="A16" s="102" t="s">
        <v>159</v>
      </c>
      <c r="B16" s="105" t="s">
        <v>101</v>
      </c>
      <c r="C16" s="104" t="s">
        <v>119</v>
      </c>
      <c r="D16" t="s">
        <v>78</v>
      </c>
      <c r="E16" s="34">
        <v>5</v>
      </c>
      <c r="F16" s="34">
        <v>5</v>
      </c>
      <c r="G16" s="34">
        <v>5</v>
      </c>
      <c r="H16" s="34">
        <v>0</v>
      </c>
      <c r="L16" s="102"/>
      <c r="AC16" s="34" t="str">
        <f t="shared" ref="AC16:AD38" si="4">IF(OR(AC$14="",$E16=""),"",AB16)</f>
        <v/>
      </c>
      <c r="AD16" s="34" t="str">
        <f t="shared" si="4"/>
        <v/>
      </c>
    </row>
    <row r="17" spans="1:30" x14ac:dyDescent="0.25">
      <c r="A17" s="108" t="s">
        <v>158</v>
      </c>
      <c r="B17" s="105" t="s">
        <v>101</v>
      </c>
      <c r="C17" s="104" t="s">
        <v>119</v>
      </c>
      <c r="D17" t="s">
        <v>78</v>
      </c>
      <c r="E17" s="34">
        <v>7</v>
      </c>
      <c r="F17" s="34">
        <v>7</v>
      </c>
      <c r="G17" s="34">
        <v>7</v>
      </c>
      <c r="H17" s="34">
        <v>7</v>
      </c>
      <c r="I17" s="34">
        <v>3</v>
      </c>
      <c r="J17" s="34">
        <v>0</v>
      </c>
      <c r="L17" s="102"/>
      <c r="AC17" s="34" t="str">
        <f t="shared" si="4"/>
        <v/>
      </c>
      <c r="AD17" s="34" t="str">
        <f t="shared" si="4"/>
        <v/>
      </c>
    </row>
    <row r="18" spans="1:30" x14ac:dyDescent="0.25">
      <c r="A18" s="108" t="s">
        <v>157</v>
      </c>
      <c r="B18" s="105" t="s">
        <v>101</v>
      </c>
      <c r="C18" s="104" t="s">
        <v>119</v>
      </c>
      <c r="D18" t="s">
        <v>78</v>
      </c>
      <c r="E18" s="34">
        <v>5</v>
      </c>
      <c r="F18" s="34">
        <v>5</v>
      </c>
      <c r="G18" s="34">
        <v>5</v>
      </c>
      <c r="H18" s="34">
        <v>5</v>
      </c>
      <c r="I18" s="34">
        <v>5</v>
      </c>
      <c r="J18" s="34">
        <v>4</v>
      </c>
      <c r="K18" s="34">
        <v>0</v>
      </c>
      <c r="L18" s="102"/>
      <c r="AC18" s="34" t="str">
        <f t="shared" si="4"/>
        <v/>
      </c>
      <c r="AD18" s="34" t="str">
        <f t="shared" si="4"/>
        <v/>
      </c>
    </row>
    <row r="19" spans="1:30" x14ac:dyDescent="0.25">
      <c r="A19" s="102" t="s">
        <v>153</v>
      </c>
      <c r="B19" s="105" t="s">
        <v>101</v>
      </c>
      <c r="C19" s="104" t="s">
        <v>119</v>
      </c>
      <c r="D19" t="s">
        <v>78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8</v>
      </c>
      <c r="K19" s="34">
        <v>8</v>
      </c>
      <c r="L19" s="34">
        <v>8</v>
      </c>
      <c r="M19" s="34">
        <v>3</v>
      </c>
      <c r="N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152</v>
      </c>
      <c r="B20" s="105" t="s">
        <v>101</v>
      </c>
      <c r="C20" s="104" t="s">
        <v>119</v>
      </c>
      <c r="D20" t="s">
        <v>78</v>
      </c>
      <c r="E20" s="34">
        <v>5</v>
      </c>
      <c r="F20" s="34">
        <v>5</v>
      </c>
      <c r="G20" s="34">
        <v>5</v>
      </c>
      <c r="H20" s="34">
        <v>5</v>
      </c>
      <c r="I20" s="34">
        <v>5</v>
      </c>
      <c r="J20" s="34">
        <v>5</v>
      </c>
      <c r="K20" s="34">
        <v>5</v>
      </c>
      <c r="L20" s="34">
        <v>5</v>
      </c>
      <c r="M20" s="34">
        <v>5</v>
      </c>
      <c r="N20" s="34">
        <v>4</v>
      </c>
      <c r="O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8" t="s">
        <v>154</v>
      </c>
      <c r="B21" s="105" t="s">
        <v>101</v>
      </c>
      <c r="C21" s="104" t="s">
        <v>119</v>
      </c>
      <c r="D21" t="s">
        <v>78</v>
      </c>
      <c r="E21" s="34">
        <v>7</v>
      </c>
      <c r="F21" s="34">
        <v>7</v>
      </c>
      <c r="G21" s="34">
        <v>7</v>
      </c>
      <c r="H21" s="34">
        <v>7</v>
      </c>
      <c r="I21" s="34">
        <v>7</v>
      </c>
      <c r="J21" s="34">
        <v>7</v>
      </c>
      <c r="K21" s="34">
        <v>7</v>
      </c>
      <c r="L21" s="34">
        <v>7</v>
      </c>
      <c r="M21" s="34">
        <v>7</v>
      </c>
      <c r="N21" s="34">
        <v>7</v>
      </c>
      <c r="O21" s="34">
        <v>7</v>
      </c>
      <c r="P21" s="34">
        <v>2</v>
      </c>
      <c r="Q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8" t="s">
        <v>155</v>
      </c>
      <c r="B22" s="105" t="s">
        <v>101</v>
      </c>
      <c r="C22" s="104" t="s">
        <v>119</v>
      </c>
      <c r="D22" t="s">
        <v>78</v>
      </c>
      <c r="E22" s="34">
        <v>5</v>
      </c>
      <c r="F22" s="34">
        <v>4</v>
      </c>
      <c r="G22" s="34">
        <v>3</v>
      </c>
      <c r="H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8" t="s">
        <v>156</v>
      </c>
      <c r="B23" s="105" t="s">
        <v>101</v>
      </c>
      <c r="C23" s="104" t="s">
        <v>119</v>
      </c>
      <c r="D23" t="s">
        <v>78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K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108" t="s">
        <v>160</v>
      </c>
      <c r="B24" s="105" t="s">
        <v>101</v>
      </c>
      <c r="C24" s="104" t="s">
        <v>119</v>
      </c>
      <c r="D24" t="s">
        <v>78</v>
      </c>
      <c r="E24" s="34">
        <v>10</v>
      </c>
      <c r="F24" s="34">
        <v>10</v>
      </c>
      <c r="G24" s="34">
        <v>10</v>
      </c>
      <c r="H24" s="34">
        <v>10</v>
      </c>
      <c r="I24" s="34">
        <v>10</v>
      </c>
      <c r="J24" s="34">
        <v>10</v>
      </c>
      <c r="K24" s="34">
        <v>10</v>
      </c>
      <c r="L24" s="34">
        <v>10</v>
      </c>
      <c r="M24" s="34">
        <v>10</v>
      </c>
      <c r="N24" s="34">
        <v>10</v>
      </c>
      <c r="O24" s="34">
        <v>9</v>
      </c>
      <c r="P24" s="34">
        <v>8</v>
      </c>
      <c r="Q24" s="34">
        <v>7</v>
      </c>
      <c r="R24" s="34">
        <v>7</v>
      </c>
      <c r="S24" s="34">
        <v>7</v>
      </c>
      <c r="T24" s="34">
        <v>0</v>
      </c>
      <c r="AC24" s="34" t="str">
        <f t="shared" si="4"/>
        <v/>
      </c>
      <c r="AD24" s="34" t="str">
        <f t="shared" si="4"/>
        <v/>
      </c>
    </row>
    <row r="25" spans="1:30" x14ac:dyDescent="0.25">
      <c r="C25"/>
      <c r="D25" s="35" t="str">
        <f t="shared" ref="D25:D38" si="5">IF(A25&lt;&gt;"","Planned","")</f>
        <v/>
      </c>
      <c r="AC25" s="34" t="str">
        <f t="shared" si="4"/>
        <v/>
      </c>
      <c r="AD25" s="34" t="str">
        <f t="shared" si="4"/>
        <v/>
      </c>
    </row>
    <row r="26" spans="1:30" x14ac:dyDescent="0.25">
      <c r="C26"/>
      <c r="D26" s="35" t="str">
        <f t="shared" si="5"/>
        <v/>
      </c>
      <c r="F26" s="34" t="str">
        <f t="shared" ref="F26:F38" si="6">IF(OR(F$14="",$E26=""),"",E26)</f>
        <v/>
      </c>
      <c r="AC26" s="34" t="str">
        <f t="shared" si="4"/>
        <v/>
      </c>
      <c r="AD26" s="34" t="str">
        <f t="shared" si="4"/>
        <v/>
      </c>
    </row>
    <row r="27" spans="1:30" x14ac:dyDescent="0.25">
      <c r="C27"/>
      <c r="D27" s="35" t="str">
        <f t="shared" si="5"/>
        <v/>
      </c>
      <c r="F27" s="34" t="str">
        <f t="shared" si="6"/>
        <v/>
      </c>
      <c r="AC27" s="34" t="str">
        <f t="shared" si="4"/>
        <v/>
      </c>
      <c r="AD27" s="34" t="str">
        <f t="shared" si="4"/>
        <v/>
      </c>
    </row>
    <row r="28" spans="1:30" x14ac:dyDescent="0.25">
      <c r="C28"/>
      <c r="D28" s="35" t="str">
        <f t="shared" si="5"/>
        <v/>
      </c>
      <c r="F28" s="34" t="str">
        <f t="shared" si="6"/>
        <v/>
      </c>
      <c r="AC28" s="34" t="str">
        <f t="shared" si="4"/>
        <v/>
      </c>
      <c r="AD28" s="34" t="str">
        <f t="shared" si="4"/>
        <v/>
      </c>
    </row>
    <row r="29" spans="1:30" x14ac:dyDescent="0.25">
      <c r="C29"/>
      <c r="D29" s="35" t="str">
        <f t="shared" si="5"/>
        <v/>
      </c>
      <c r="F29" s="34" t="str">
        <f t="shared" si="6"/>
        <v/>
      </c>
      <c r="AC29" s="34" t="str">
        <f t="shared" si="4"/>
        <v/>
      </c>
      <c r="AD29" s="34" t="str">
        <f t="shared" si="4"/>
        <v/>
      </c>
    </row>
    <row r="30" spans="1:30" x14ac:dyDescent="0.25">
      <c r="C30"/>
      <c r="D30" s="35" t="str">
        <f t="shared" si="5"/>
        <v/>
      </c>
      <c r="F30" s="34" t="str">
        <f t="shared" si="6"/>
        <v/>
      </c>
      <c r="AC30" s="34" t="str">
        <f t="shared" si="4"/>
        <v/>
      </c>
      <c r="AD30" s="34" t="str">
        <f t="shared" si="4"/>
        <v/>
      </c>
    </row>
    <row r="31" spans="1:30" x14ac:dyDescent="0.25">
      <c r="C31"/>
      <c r="D31" s="35" t="str">
        <f t="shared" si="5"/>
        <v/>
      </c>
      <c r="F31" s="34" t="str">
        <f t="shared" si="6"/>
        <v/>
      </c>
      <c r="AC31" s="34" t="str">
        <f t="shared" si="4"/>
        <v/>
      </c>
      <c r="AD31" s="34" t="str">
        <f t="shared" si="4"/>
        <v/>
      </c>
    </row>
    <row r="32" spans="1:30" x14ac:dyDescent="0.25">
      <c r="C32"/>
      <c r="D32" s="35" t="str">
        <f t="shared" si="5"/>
        <v/>
      </c>
      <c r="F32" s="34" t="str">
        <f t="shared" si="6"/>
        <v/>
      </c>
      <c r="AC32" s="34" t="str">
        <f t="shared" si="4"/>
        <v/>
      </c>
      <c r="AD32" s="34" t="str">
        <f t="shared" si="4"/>
        <v/>
      </c>
    </row>
    <row r="33" spans="1:30" x14ac:dyDescent="0.25">
      <c r="C33"/>
      <c r="D33" s="35" t="str">
        <f t="shared" si="5"/>
        <v/>
      </c>
      <c r="F33" s="34" t="str">
        <f t="shared" si="6"/>
        <v/>
      </c>
      <c r="AC33" s="34" t="str">
        <f t="shared" si="4"/>
        <v/>
      </c>
      <c r="AD33" s="34" t="str">
        <f t="shared" si="4"/>
        <v/>
      </c>
    </row>
    <row r="34" spans="1:30" x14ac:dyDescent="0.25">
      <c r="C34"/>
      <c r="D34" s="35" t="str">
        <f t="shared" si="5"/>
        <v/>
      </c>
      <c r="F34" s="34" t="str">
        <f t="shared" si="6"/>
        <v/>
      </c>
      <c r="AC34" s="34" t="str">
        <f t="shared" si="4"/>
        <v/>
      </c>
      <c r="AD34" s="34" t="str">
        <f t="shared" si="4"/>
        <v/>
      </c>
    </row>
    <row r="35" spans="1:30" x14ac:dyDescent="0.25">
      <c r="C35"/>
      <c r="D35" s="35" t="str">
        <f t="shared" si="5"/>
        <v/>
      </c>
      <c r="F35" s="34" t="str">
        <f t="shared" si="6"/>
        <v/>
      </c>
      <c r="AC35" s="34" t="str">
        <f t="shared" si="4"/>
        <v/>
      </c>
      <c r="AD35" s="34" t="str">
        <f t="shared" si="4"/>
        <v/>
      </c>
    </row>
    <row r="36" spans="1:30" x14ac:dyDescent="0.25">
      <c r="C36"/>
      <c r="D36" s="35" t="str">
        <f t="shared" si="5"/>
        <v/>
      </c>
      <c r="F36" s="34" t="str">
        <f t="shared" si="6"/>
        <v/>
      </c>
      <c r="AC36" s="34" t="str">
        <f t="shared" si="4"/>
        <v/>
      </c>
      <c r="AD36" s="34" t="str">
        <f t="shared" si="4"/>
        <v/>
      </c>
    </row>
    <row r="37" spans="1:30" x14ac:dyDescent="0.25">
      <c r="C37"/>
      <c r="D37" s="35" t="str">
        <f t="shared" si="5"/>
        <v/>
      </c>
      <c r="F37" s="34" t="str">
        <f t="shared" si="6"/>
        <v/>
      </c>
      <c r="G37" s="34" t="str">
        <f t="shared" ref="G37:AB37" si="7">IF(OR(G$14="",$E37=""),"",F37)</f>
        <v/>
      </c>
      <c r="H37" s="34" t="str">
        <f t="shared" si="7"/>
        <v/>
      </c>
      <c r="I37" s="34" t="str">
        <f t="shared" si="7"/>
        <v/>
      </c>
      <c r="J37" s="34" t="str">
        <f t="shared" si="7"/>
        <v/>
      </c>
      <c r="K37" s="34" t="str">
        <f t="shared" si="7"/>
        <v/>
      </c>
      <c r="L37" s="34" t="str">
        <f t="shared" si="7"/>
        <v/>
      </c>
      <c r="M37" s="34" t="str">
        <f t="shared" si="7"/>
        <v/>
      </c>
      <c r="N37" s="34" t="str">
        <f t="shared" si="7"/>
        <v/>
      </c>
      <c r="O37" s="34" t="str">
        <f t="shared" si="7"/>
        <v/>
      </c>
      <c r="P37" s="34" t="str">
        <f t="shared" si="7"/>
        <v/>
      </c>
      <c r="Q37" s="34" t="str">
        <f t="shared" si="7"/>
        <v/>
      </c>
      <c r="R37" s="34" t="str">
        <f t="shared" si="7"/>
        <v/>
      </c>
      <c r="S37" s="34" t="str">
        <f t="shared" si="7"/>
        <v/>
      </c>
      <c r="T37" s="34" t="str">
        <f t="shared" si="7"/>
        <v/>
      </c>
      <c r="U37" s="34" t="str">
        <f t="shared" si="7"/>
        <v/>
      </c>
      <c r="V37" s="34" t="str">
        <f t="shared" si="7"/>
        <v/>
      </c>
      <c r="W37" s="34" t="str">
        <f t="shared" si="7"/>
        <v/>
      </c>
      <c r="X37" s="34" t="str">
        <f t="shared" si="7"/>
        <v/>
      </c>
      <c r="Y37" s="34" t="str">
        <f t="shared" si="7"/>
        <v/>
      </c>
      <c r="Z37" s="34" t="str">
        <f t="shared" si="7"/>
        <v/>
      </c>
      <c r="AA37" s="34" t="str">
        <f t="shared" si="7"/>
        <v/>
      </c>
      <c r="AB37" s="34" t="str">
        <f t="shared" si="7"/>
        <v/>
      </c>
      <c r="AC37" s="34" t="str">
        <f t="shared" si="4"/>
        <v/>
      </c>
      <c r="AD37" s="34" t="str">
        <f t="shared" si="4"/>
        <v/>
      </c>
    </row>
    <row r="38" spans="1:30" x14ac:dyDescent="0.25">
      <c r="C38"/>
      <c r="D38" s="35" t="str">
        <f t="shared" si="5"/>
        <v/>
      </c>
      <c r="F38" s="34" t="str">
        <f t="shared" si="6"/>
        <v/>
      </c>
      <c r="G38" s="34" t="str">
        <f t="shared" ref="G38:AB38" si="8">IF(OR(G$14="",$E38=""),"",F38)</f>
        <v/>
      </c>
      <c r="H38" s="34" t="str">
        <f t="shared" si="8"/>
        <v/>
      </c>
      <c r="I38" s="34" t="str">
        <f t="shared" si="8"/>
        <v/>
      </c>
      <c r="J38" s="34" t="str">
        <f t="shared" si="8"/>
        <v/>
      </c>
      <c r="K38" s="34" t="str">
        <f t="shared" si="8"/>
        <v/>
      </c>
      <c r="L38" s="34" t="str">
        <f t="shared" si="8"/>
        <v/>
      </c>
      <c r="M38" s="34" t="str">
        <f t="shared" si="8"/>
        <v/>
      </c>
      <c r="N38" s="34" t="str">
        <f t="shared" si="8"/>
        <v/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  <c r="Z38" s="34" t="str">
        <f t="shared" si="8"/>
        <v/>
      </c>
      <c r="AA38" s="34" t="str">
        <f t="shared" si="8"/>
        <v/>
      </c>
      <c r="AB38" s="34" t="str">
        <f t="shared" si="8"/>
        <v/>
      </c>
      <c r="AC38" s="34" t="str">
        <f t="shared" si="4"/>
        <v/>
      </c>
      <c r="AD38" s="34" t="str">
        <f t="shared" si="4"/>
        <v/>
      </c>
    </row>
    <row r="39" spans="1:30" x14ac:dyDescent="0.25">
      <c r="B39" s="105"/>
      <c r="C39" s="104"/>
      <c r="D39"/>
    </row>
    <row r="40" spans="1:30" x14ac:dyDescent="0.25">
      <c r="B40" s="105"/>
      <c r="C40" s="104"/>
      <c r="D40"/>
    </row>
    <row r="41" spans="1:30" x14ac:dyDescent="0.25">
      <c r="B41" s="105"/>
      <c r="C41" s="104"/>
      <c r="D41"/>
    </row>
    <row r="42" spans="1:30" x14ac:dyDescent="0.25">
      <c r="A42" s="102"/>
      <c r="B42" s="105"/>
      <c r="C42" s="104"/>
      <c r="D42"/>
    </row>
    <row r="43" spans="1:30" x14ac:dyDescent="0.25">
      <c r="A43" s="102"/>
      <c r="B43" s="105"/>
      <c r="C43" s="104"/>
      <c r="D43"/>
    </row>
    <row r="44" spans="1:30" x14ac:dyDescent="0.25">
      <c r="A44" s="32"/>
      <c r="C44"/>
      <c r="AC44" s="34" t="str">
        <f t="shared" ref="AC44:AD50" si="9">IF(OR(AC$14="",$E44=""),"",AB44)</f>
        <v/>
      </c>
      <c r="AD44" s="34" t="str">
        <f t="shared" si="9"/>
        <v/>
      </c>
    </row>
    <row r="45" spans="1:30" x14ac:dyDescent="0.25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5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5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5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5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5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5">
      <c r="A51" s="32"/>
      <c r="C51"/>
    </row>
    <row r="52" spans="1:30" x14ac:dyDescent="0.25">
      <c r="A52" s="32"/>
      <c r="C52"/>
      <c r="AC52" s="34" t="str">
        <f t="shared" ref="AC52:AD56" si="10">IF(OR(AC$14="",$E52=""),"",AB52)</f>
        <v/>
      </c>
      <c r="AD52" s="34" t="str">
        <f t="shared" si="10"/>
        <v/>
      </c>
    </row>
    <row r="53" spans="1:30" x14ac:dyDescent="0.25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5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5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5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5">
      <c r="C57"/>
      <c r="D57" s="35" t="str">
        <f t="shared" ref="D57" si="11">IF(A57&lt;&gt;"","Planned","")</f>
        <v/>
      </c>
    </row>
    <row r="58" spans="1:30" x14ac:dyDescent="0.25">
      <c r="C58"/>
    </row>
    <row r="59" spans="1:30" x14ac:dyDescent="0.25">
      <c r="C59"/>
    </row>
    <row r="60" spans="1:30" x14ac:dyDescent="0.25">
      <c r="C60"/>
    </row>
    <row r="61" spans="1:30" x14ac:dyDescent="0.25">
      <c r="C61"/>
    </row>
    <row r="62" spans="1:30" x14ac:dyDescent="0.25">
      <c r="C62"/>
    </row>
    <row r="63" spans="1:30" x14ac:dyDescent="0.25">
      <c r="C63"/>
    </row>
    <row r="64" spans="1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sortState ref="A15:AD56">
    <sortCondition ref="B14"/>
    <sortCondition ref="D14"/>
  </sortState>
  <conditionalFormatting sqref="A15:K15 A18 A20:A24 A42:AD51 B39:AD41 M15:AD22 M24:AD24 S23:AD23 E23:G23 E24:K24 E16:K22 A25:AD38 B16:D24">
    <cfRule type="expression" dxfId="1" priority="19" stopIfTrue="1">
      <formula>$D15="Done"</formula>
    </cfRule>
    <cfRule type="expression" dxfId="0" priority="20" stopIfTrue="1">
      <formula>$D15="Ongoing"</formula>
    </cfRule>
  </conditionalFormatting>
  <conditionalFormatting sqref="A17">
    <cfRule type="expression" dxfId="82" priority="21" stopIfTrue="1">
      <formula>$D16="Done"</formula>
    </cfRule>
    <cfRule type="expression" dxfId="81" priority="22" stopIfTrue="1">
      <formula>$D16="Ongoing"</formula>
    </cfRule>
  </conditionalFormatting>
  <conditionalFormatting sqref="A19:A20">
    <cfRule type="expression" dxfId="80" priority="41" stopIfTrue="1">
      <formula>$D40="Done"</formula>
    </cfRule>
    <cfRule type="expression" dxfId="79" priority="42" stopIfTrue="1">
      <formula>$D40="Ongoing"</formula>
    </cfRule>
  </conditionalFormatting>
  <conditionalFormatting sqref="L19:L22 L24">
    <cfRule type="expression" dxfId="78" priority="15" stopIfTrue="1">
      <formula>$D19="Done"</formula>
    </cfRule>
    <cfRule type="expression" dxfId="77" priority="16" stopIfTrue="1">
      <formula>$D19="Ongoing"</formula>
    </cfRule>
  </conditionalFormatting>
  <conditionalFormatting sqref="A19">
    <cfRule type="expression" dxfId="76" priority="13" stopIfTrue="1">
      <formula>$D19="Done"</formula>
    </cfRule>
    <cfRule type="expression" dxfId="75" priority="14" stopIfTrue="1">
      <formula>$D19="Ongoing"</formula>
    </cfRule>
  </conditionalFormatting>
  <conditionalFormatting sqref="A16">
    <cfRule type="expression" dxfId="74" priority="9" stopIfTrue="1">
      <formula>$D16="Done"</formula>
    </cfRule>
    <cfRule type="expression" dxfId="73" priority="10" stopIfTrue="1">
      <formula>$D16="Ongoing"</formula>
    </cfRule>
  </conditionalFormatting>
  <conditionalFormatting sqref="A16">
    <cfRule type="expression" dxfId="72" priority="11" stopIfTrue="1">
      <formula>$D37="Done"</formula>
    </cfRule>
    <cfRule type="expression" dxfId="71" priority="12" stopIfTrue="1">
      <formula>$D37="Ongoing"</formula>
    </cfRule>
  </conditionalFormatting>
  <conditionalFormatting sqref="L15:L18">
    <cfRule type="expression" dxfId="70" priority="5" stopIfTrue="1">
      <formula>$D15="Done"</formula>
    </cfRule>
    <cfRule type="expression" dxfId="69" priority="6" stopIfTrue="1">
      <formula>$D15="Ongoing"</formula>
    </cfRule>
  </conditionalFormatting>
  <conditionalFormatting sqref="L15:L18">
    <cfRule type="expression" dxfId="68" priority="7" stopIfTrue="1">
      <formula>$D36="Done"</formula>
    </cfRule>
    <cfRule type="expression" dxfId="67" priority="8" stopIfTrue="1">
      <formula>$D36="Ongoing"</formula>
    </cfRule>
  </conditionalFormatting>
  <conditionalFormatting sqref="M23:R23 H23:K23">
    <cfRule type="expression" dxfId="62" priority="3" stopIfTrue="1">
      <formula>$D23="Done"</formula>
    </cfRule>
    <cfRule type="expression" dxfId="61" priority="4" stopIfTrue="1">
      <formula>$D23="Ongoing"</formula>
    </cfRule>
  </conditionalFormatting>
  <conditionalFormatting sqref="L23">
    <cfRule type="expression" dxfId="60" priority="1" stopIfTrue="1">
      <formula>$D23="Done"</formula>
    </cfRule>
    <cfRule type="expression" dxfId="59" priority="2" stopIfTrue="1">
      <formula>$D23="Ongoing"</formula>
    </cfRule>
  </conditionalFormatting>
  <dataValidations count="1">
    <dataValidation type="list" allowBlank="1" showInputMessage="1" sqref="D3:D8 D15:D57" xr:uid="{3C600AF5-85E6-45CA-85C6-31B8C1B45AB7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236220</xdr:colOff>
                    <xdr:row>5</xdr:row>
                    <xdr:rowOff>83820</xdr:rowOff>
                  </from>
                  <to>
                    <xdr:col>0</xdr:col>
                    <xdr:colOff>2103120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83820</xdr:rowOff>
                  </from>
                  <to>
                    <xdr:col>2</xdr:col>
                    <xdr:colOff>312420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E13D-BBF1-4837-BBD5-18B1705F6E4D}">
  <sheetPr codeName="Sheet10"/>
  <dimension ref="A1:AD80"/>
  <sheetViews>
    <sheetView showGridLines="0" tabSelected="1" zoomScale="85" zoomScaleNormal="85" workbookViewId="0">
      <pane ySplit="14" topLeftCell="A15" activePane="bottomLeft" state="frozen"/>
      <selection pane="bottomLeft" activeCell="A9" sqref="A9:U24"/>
    </sheetView>
  </sheetViews>
  <sheetFormatPr baseColWidth="10" defaultColWidth="9.109375" defaultRowHeight="13.2" x14ac:dyDescent="0.25"/>
  <cols>
    <col min="1" max="1" width="49.88671875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5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134</v>
      </c>
      <c r="B9" s="70">
        <v>14</v>
      </c>
      <c r="C9" s="69"/>
      <c r="D9" s="71"/>
      <c r="E9" s="69" t="s">
        <v>132</v>
      </c>
      <c r="F9" s="69" t="s">
        <v>133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135</v>
      </c>
      <c r="B10" s="70">
        <v>14</v>
      </c>
      <c r="C10" s="69" t="s">
        <v>115</v>
      </c>
      <c r="D10" s="69" t="s">
        <v>131</v>
      </c>
      <c r="E10" s="72">
        <f ca="1">SUM(OFFSET(E14,1,0,TaskRows,1))</f>
        <v>70</v>
      </c>
      <c r="F10" s="72">
        <f ca="1">IF(AND(SUM(OFFSET(F14,1,0,TaskRows,1))=0),0,SUM(OFFSET(F14,1,0,TaskRows,1)))</f>
        <v>72</v>
      </c>
      <c r="G10" s="72">
        <f t="shared" ref="G10:AD10" ca="1" si="0">IF(AND(SUM(OFFSET(G14,1,0,TaskRows,1))=0),"",SUM(OFFSET(G14,1,0,TaskRows,1)))</f>
        <v>69</v>
      </c>
      <c r="H10" s="72">
        <f t="shared" ca="1" si="0"/>
        <v>62</v>
      </c>
      <c r="I10" s="72">
        <f t="shared" ca="1" si="0"/>
        <v>59</v>
      </c>
      <c r="J10" s="72">
        <f t="shared" ca="1" si="0"/>
        <v>55</v>
      </c>
      <c r="K10" s="72">
        <f t="shared" ca="1" si="0"/>
        <v>46</v>
      </c>
      <c r="L10" s="72">
        <f t="shared" ca="1" si="0"/>
        <v>47</v>
      </c>
      <c r="M10" s="72">
        <f t="shared" ca="1" si="0"/>
        <v>45</v>
      </c>
      <c r="N10" s="72">
        <f t="shared" ca="1" si="0"/>
        <v>40</v>
      </c>
      <c r="O10" s="72">
        <f t="shared" ca="1" si="0"/>
        <v>36</v>
      </c>
      <c r="P10" s="72">
        <f t="shared" ca="1" si="0"/>
        <v>30</v>
      </c>
      <c r="Q10" s="72">
        <f t="shared" ca="1" si="0"/>
        <v>20</v>
      </c>
      <c r="R10" s="72">
        <f t="shared" ca="1" si="0"/>
        <v>11</v>
      </c>
      <c r="S10" s="72">
        <f t="shared" ca="1" si="0"/>
        <v>8</v>
      </c>
      <c r="T10" s="72">
        <f t="shared" ca="1" si="0"/>
        <v>2</v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10</v>
      </c>
      <c r="C11" t="s">
        <v>23</v>
      </c>
      <c r="D11" s="2">
        <f ca="1">IF(COUNTIF(F10:AD10,"&gt;0")=0,1,COUNTIF(F10:AD10,"&gt;0"))</f>
        <v>15</v>
      </c>
      <c r="E11" s="2"/>
      <c r="F11" s="2">
        <f ca="1">IF(F14="","",$E10-$E10/($B9-1)*(F14-1))</f>
        <v>70</v>
      </c>
      <c r="G11" s="2">
        <f t="shared" ref="G11:AD11" ca="1" si="1">IF(G14="","",TotalEffort-TotalEffort/(ImplementationDays)*(G14-1))</f>
        <v>65</v>
      </c>
      <c r="H11" s="2">
        <f t="shared" ca="1" si="1"/>
        <v>60</v>
      </c>
      <c r="I11" s="2">
        <f t="shared" ca="1" si="1"/>
        <v>55</v>
      </c>
      <c r="J11" s="2">
        <f t="shared" ca="1" si="1"/>
        <v>50</v>
      </c>
      <c r="K11" s="2">
        <f t="shared" ca="1" si="1"/>
        <v>45</v>
      </c>
      <c r="L11" s="2">
        <f t="shared" ca="1" si="1"/>
        <v>40</v>
      </c>
      <c r="M11" s="2">
        <f t="shared" ca="1" si="1"/>
        <v>35</v>
      </c>
      <c r="N11" s="2">
        <f t="shared" ca="1" si="1"/>
        <v>30</v>
      </c>
      <c r="O11" s="2">
        <f t="shared" ca="1" si="1"/>
        <v>25</v>
      </c>
      <c r="P11" s="2">
        <f t="shared" ca="1" si="1"/>
        <v>20</v>
      </c>
      <c r="Q11" s="2">
        <f t="shared" ca="1" si="1"/>
        <v>15</v>
      </c>
      <c r="R11" s="2">
        <f t="shared" ca="1" si="1"/>
        <v>10</v>
      </c>
      <c r="S11" s="2">
        <f t="shared" ca="1" si="1"/>
        <v>5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75.109890109890117</v>
      </c>
      <c r="G12" s="2">
        <f t="shared" ca="1" si="2"/>
        <v>70.142857142857139</v>
      </c>
      <c r="H12" s="2">
        <f t="shared" ca="1" si="2"/>
        <v>65.175824175824175</v>
      </c>
      <c r="I12" s="2">
        <f t="shared" ca="1" si="2"/>
        <v>60.208791208791212</v>
      </c>
      <c r="J12" s="2">
        <f t="shared" ca="1" si="2"/>
        <v>55.241758241758241</v>
      </c>
      <c r="K12" s="2">
        <f t="shared" ca="1" si="2"/>
        <v>50.27472527472527</v>
      </c>
      <c r="L12" s="2">
        <f t="shared" ca="1" si="2"/>
        <v>45.307692307692307</v>
      </c>
      <c r="M12" s="2">
        <f t="shared" ca="1" si="2"/>
        <v>40.340659340659336</v>
      </c>
      <c r="N12" s="2">
        <f t="shared" ca="1" si="2"/>
        <v>35.373626373626365</v>
      </c>
      <c r="O12" s="2">
        <f t="shared" ca="1" si="2"/>
        <v>30.406593406593402</v>
      </c>
      <c r="P12" s="2">
        <f t="shared" ca="1" si="2"/>
        <v>25.439560439560431</v>
      </c>
      <c r="Q12" s="2">
        <f t="shared" ca="1" si="2"/>
        <v>20.47252747252746</v>
      </c>
      <c r="R12" s="2">
        <f t="shared" ca="1" si="2"/>
        <v>15.505494505494497</v>
      </c>
      <c r="S12" s="2">
        <f t="shared" ca="1" si="2"/>
        <v>10.538461538461533</v>
      </c>
      <c r="T12" s="2">
        <f t="shared" ca="1" si="2"/>
        <v>5.5714285714285552</v>
      </c>
      <c r="U12" s="2">
        <f t="shared" ca="1" si="2"/>
        <v>0.60439560439559159</v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128</v>
      </c>
      <c r="B14" s="73" t="s">
        <v>129</v>
      </c>
      <c r="C14" s="69" t="s">
        <v>130</v>
      </c>
      <c r="D14" s="69" t="s">
        <v>118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2" t="s">
        <v>163</v>
      </c>
      <c r="B15" s="105" t="s">
        <v>102</v>
      </c>
      <c r="C15" s="104" t="s">
        <v>119</v>
      </c>
      <c r="D15" t="s">
        <v>78</v>
      </c>
      <c r="E15" s="34">
        <v>3</v>
      </c>
      <c r="F15" s="34">
        <v>3</v>
      </c>
      <c r="G15" s="34">
        <v>0</v>
      </c>
    </row>
    <row r="16" spans="1:30" x14ac:dyDescent="0.25">
      <c r="A16" s="102" t="s">
        <v>164</v>
      </c>
      <c r="B16" s="105" t="s">
        <v>102</v>
      </c>
      <c r="C16" s="104" t="s">
        <v>119</v>
      </c>
      <c r="D16" t="s">
        <v>78</v>
      </c>
      <c r="E16" s="34">
        <v>5</v>
      </c>
      <c r="F16" s="34">
        <v>5</v>
      </c>
      <c r="G16" s="34">
        <v>5</v>
      </c>
      <c r="H16" s="34">
        <v>0</v>
      </c>
      <c r="AC16" s="34" t="str">
        <f t="shared" ref="AC16:AD31" si="4">IF(OR(AC$14="",$E16=""),"",AB16)</f>
        <v/>
      </c>
      <c r="AD16" s="34" t="str">
        <f t="shared" si="4"/>
        <v/>
      </c>
    </row>
    <row r="17" spans="1:30" x14ac:dyDescent="0.25">
      <c r="A17" s="108" t="s">
        <v>170</v>
      </c>
      <c r="B17" s="105" t="s">
        <v>102</v>
      </c>
      <c r="C17" s="104" t="s">
        <v>119</v>
      </c>
      <c r="D17" t="s">
        <v>78</v>
      </c>
      <c r="E17" s="34">
        <v>7</v>
      </c>
      <c r="F17" s="34">
        <v>7</v>
      </c>
      <c r="G17" s="34">
        <v>7</v>
      </c>
      <c r="H17" s="34">
        <v>5</v>
      </c>
      <c r="I17" s="34">
        <v>2</v>
      </c>
      <c r="J17" s="34">
        <v>0</v>
      </c>
      <c r="AC17" s="34" t="str">
        <f t="shared" si="4"/>
        <v/>
      </c>
      <c r="AD17" s="34" t="str">
        <f t="shared" si="4"/>
        <v/>
      </c>
    </row>
    <row r="18" spans="1:30" x14ac:dyDescent="0.25">
      <c r="A18" s="108" t="s">
        <v>171</v>
      </c>
      <c r="B18" s="105" t="s">
        <v>102</v>
      </c>
      <c r="C18" s="104" t="s">
        <v>119</v>
      </c>
      <c r="D18" t="s">
        <v>78</v>
      </c>
      <c r="E18" s="34">
        <v>5</v>
      </c>
      <c r="F18" s="34">
        <v>5</v>
      </c>
      <c r="G18" s="34">
        <v>5</v>
      </c>
      <c r="H18" s="34">
        <v>5</v>
      </c>
      <c r="I18" s="34">
        <v>5</v>
      </c>
      <c r="J18" s="34">
        <v>3</v>
      </c>
      <c r="K18" s="34">
        <v>0</v>
      </c>
      <c r="AC18" s="34" t="str">
        <f t="shared" si="4"/>
        <v/>
      </c>
      <c r="AD18" s="34" t="str">
        <f t="shared" si="4"/>
        <v/>
      </c>
    </row>
    <row r="19" spans="1:30" x14ac:dyDescent="0.25">
      <c r="A19" s="102" t="s">
        <v>172</v>
      </c>
      <c r="B19" s="105" t="s">
        <v>102</v>
      </c>
      <c r="C19" s="104" t="s">
        <v>119</v>
      </c>
      <c r="D19" t="s">
        <v>78</v>
      </c>
      <c r="E19" s="34">
        <v>5</v>
      </c>
      <c r="F19" s="34">
        <v>5</v>
      </c>
      <c r="G19" s="34">
        <v>5</v>
      </c>
      <c r="H19" s="34">
        <v>5</v>
      </c>
      <c r="I19" s="34">
        <v>5</v>
      </c>
      <c r="J19" s="34">
        <v>5</v>
      </c>
      <c r="K19" s="34">
        <v>5</v>
      </c>
      <c r="L19" s="34">
        <v>5</v>
      </c>
      <c r="M19" s="34">
        <v>5</v>
      </c>
      <c r="N19" s="34">
        <v>2</v>
      </c>
      <c r="O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165</v>
      </c>
      <c r="B20" s="105" t="s">
        <v>102</v>
      </c>
      <c r="C20" s="104" t="s">
        <v>119</v>
      </c>
      <c r="D20" t="s">
        <v>78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K20" s="34">
        <v>10</v>
      </c>
      <c r="L20" s="34">
        <v>9</v>
      </c>
      <c r="M20" s="34">
        <v>8</v>
      </c>
      <c r="N20" s="34">
        <v>7</v>
      </c>
      <c r="O20" s="34">
        <v>6</v>
      </c>
      <c r="P20" s="34">
        <v>5</v>
      </c>
      <c r="Q20" s="34">
        <v>4</v>
      </c>
      <c r="R20" s="34">
        <v>3</v>
      </c>
      <c r="S20" s="34">
        <v>2</v>
      </c>
      <c r="T20" s="34">
        <v>1</v>
      </c>
      <c r="U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8" t="s">
        <v>168</v>
      </c>
      <c r="B21" s="105" t="s">
        <v>102</v>
      </c>
      <c r="C21" s="104" t="s">
        <v>119</v>
      </c>
      <c r="D21" t="s">
        <v>78</v>
      </c>
      <c r="E21" s="34">
        <v>5</v>
      </c>
      <c r="F21" s="34">
        <v>7</v>
      </c>
      <c r="G21" s="34">
        <v>7</v>
      </c>
      <c r="H21" s="34">
        <v>7</v>
      </c>
      <c r="I21" s="34">
        <v>7</v>
      </c>
      <c r="J21" s="34">
        <v>7</v>
      </c>
      <c r="K21" s="34">
        <v>7</v>
      </c>
      <c r="L21" s="34">
        <v>7</v>
      </c>
      <c r="M21" s="34">
        <v>7</v>
      </c>
      <c r="N21" s="34">
        <v>7</v>
      </c>
      <c r="O21" s="34">
        <v>7</v>
      </c>
      <c r="P21" s="34">
        <v>5</v>
      </c>
      <c r="Q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8" t="s">
        <v>167</v>
      </c>
      <c r="B22" s="105" t="s">
        <v>102</v>
      </c>
      <c r="C22" s="104" t="s">
        <v>119</v>
      </c>
      <c r="D22" t="s">
        <v>78</v>
      </c>
      <c r="E22" s="34">
        <v>5</v>
      </c>
      <c r="F22" s="34">
        <v>5</v>
      </c>
      <c r="G22" s="34">
        <v>5</v>
      </c>
      <c r="H22" s="34">
        <v>5</v>
      </c>
      <c r="I22" s="34">
        <v>5</v>
      </c>
      <c r="J22" s="34">
        <v>5</v>
      </c>
      <c r="K22" s="34">
        <v>5</v>
      </c>
      <c r="L22" s="34">
        <v>5</v>
      </c>
      <c r="M22" s="34">
        <v>5</v>
      </c>
      <c r="N22" s="34">
        <v>5</v>
      </c>
      <c r="O22" s="34">
        <v>5</v>
      </c>
      <c r="P22" s="34">
        <v>5</v>
      </c>
      <c r="Q22" s="34">
        <v>5</v>
      </c>
      <c r="R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8" t="s">
        <v>169</v>
      </c>
      <c r="B23" s="105" t="s">
        <v>102</v>
      </c>
      <c r="C23" s="104" t="s">
        <v>119</v>
      </c>
      <c r="D23" t="s">
        <v>78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K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5</v>
      </c>
      <c r="S23" s="34">
        <v>4</v>
      </c>
      <c r="T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108" t="s">
        <v>166</v>
      </c>
      <c r="B24" s="105" t="s">
        <v>102</v>
      </c>
      <c r="C24" s="104" t="s">
        <v>119</v>
      </c>
      <c r="D24" t="s">
        <v>78</v>
      </c>
      <c r="E24" s="34">
        <v>20</v>
      </c>
      <c r="F24" s="34">
        <v>20</v>
      </c>
      <c r="G24" s="34">
        <v>20</v>
      </c>
      <c r="H24" s="34">
        <v>20</v>
      </c>
      <c r="I24" s="34">
        <v>20</v>
      </c>
      <c r="J24" s="34">
        <v>20</v>
      </c>
      <c r="K24" s="34">
        <v>14</v>
      </c>
      <c r="L24" s="34">
        <v>16</v>
      </c>
      <c r="M24" s="34">
        <v>15</v>
      </c>
      <c r="N24" s="34">
        <v>14</v>
      </c>
      <c r="O24" s="34">
        <v>13</v>
      </c>
      <c r="P24" s="34">
        <v>10</v>
      </c>
      <c r="Q24" s="34">
        <v>6</v>
      </c>
      <c r="R24" s="34">
        <v>3</v>
      </c>
      <c r="S24" s="34">
        <v>2</v>
      </c>
      <c r="T24" s="34">
        <v>1</v>
      </c>
      <c r="U24" s="34">
        <v>0</v>
      </c>
      <c r="AC24" s="34" t="str">
        <f t="shared" si="4"/>
        <v/>
      </c>
      <c r="AD24" s="34" t="str">
        <f t="shared" si="4"/>
        <v/>
      </c>
    </row>
    <row r="25" spans="1:30" x14ac:dyDescent="0.25">
      <c r="C25"/>
      <c r="D25" s="35" t="str">
        <f t="shared" ref="D25:D38" si="5">IF(A25&lt;&gt;"","Planned","")</f>
        <v/>
      </c>
      <c r="AC25" s="34" t="str">
        <f t="shared" si="4"/>
        <v/>
      </c>
      <c r="AD25" s="34" t="str">
        <f t="shared" si="4"/>
        <v/>
      </c>
    </row>
    <row r="26" spans="1:30" x14ac:dyDescent="0.25">
      <c r="C26"/>
      <c r="D26" s="35" t="str">
        <f t="shared" si="5"/>
        <v/>
      </c>
      <c r="F26" s="34" t="str">
        <f t="shared" ref="F26:U38" si="6">IF(OR(F$14="",$E26=""),"",E26)</f>
        <v/>
      </c>
      <c r="AC26" s="34" t="str">
        <f t="shared" si="4"/>
        <v/>
      </c>
      <c r="AD26" s="34" t="str">
        <f t="shared" si="4"/>
        <v/>
      </c>
    </row>
    <row r="27" spans="1:30" x14ac:dyDescent="0.25">
      <c r="C27"/>
      <c r="D27" s="35" t="str">
        <f t="shared" si="5"/>
        <v/>
      </c>
      <c r="F27" s="34" t="str">
        <f t="shared" si="6"/>
        <v/>
      </c>
      <c r="AC27" s="34" t="str">
        <f t="shared" si="4"/>
        <v/>
      </c>
      <c r="AD27" s="34" t="str">
        <f t="shared" si="4"/>
        <v/>
      </c>
    </row>
    <row r="28" spans="1:30" x14ac:dyDescent="0.25">
      <c r="C28"/>
      <c r="D28" s="35" t="str">
        <f t="shared" si="5"/>
        <v/>
      </c>
      <c r="F28" s="34" t="str">
        <f t="shared" si="6"/>
        <v/>
      </c>
      <c r="AC28" s="34" t="str">
        <f t="shared" si="4"/>
        <v/>
      </c>
      <c r="AD28" s="34" t="str">
        <f t="shared" si="4"/>
        <v/>
      </c>
    </row>
    <row r="29" spans="1:30" x14ac:dyDescent="0.25">
      <c r="C29"/>
      <c r="D29" s="35" t="str">
        <f t="shared" si="5"/>
        <v/>
      </c>
      <c r="F29" s="34" t="str">
        <f t="shared" si="6"/>
        <v/>
      </c>
      <c r="AC29" s="34" t="str">
        <f t="shared" si="4"/>
        <v/>
      </c>
      <c r="AD29" s="34" t="str">
        <f t="shared" si="4"/>
        <v/>
      </c>
    </row>
    <row r="30" spans="1:30" x14ac:dyDescent="0.25">
      <c r="C30"/>
      <c r="D30" s="35" t="str">
        <f t="shared" si="5"/>
        <v/>
      </c>
      <c r="F30" s="34" t="str">
        <f t="shared" si="6"/>
        <v/>
      </c>
      <c r="AC30" s="34" t="str">
        <f t="shared" si="4"/>
        <v/>
      </c>
      <c r="AD30" s="34" t="str">
        <f t="shared" si="4"/>
        <v/>
      </c>
    </row>
    <row r="31" spans="1:30" x14ac:dyDescent="0.25">
      <c r="C31"/>
      <c r="D31" s="35" t="str">
        <f t="shared" si="5"/>
        <v/>
      </c>
      <c r="F31" s="34" t="str">
        <f t="shared" si="6"/>
        <v/>
      </c>
      <c r="AC31" s="34" t="str">
        <f t="shared" si="4"/>
        <v/>
      </c>
      <c r="AD31" s="34" t="str">
        <f t="shared" si="4"/>
        <v/>
      </c>
    </row>
    <row r="32" spans="1:30" x14ac:dyDescent="0.25">
      <c r="C32"/>
      <c r="D32" s="35" t="str">
        <f t="shared" si="5"/>
        <v/>
      </c>
      <c r="F32" s="34" t="str">
        <f t="shared" si="6"/>
        <v/>
      </c>
      <c r="AC32" s="34" t="str">
        <f t="shared" ref="AC32:AD38" si="7">IF(OR(AC$14="",$E32=""),"",AB32)</f>
        <v/>
      </c>
      <c r="AD32" s="34" t="str">
        <f t="shared" si="7"/>
        <v/>
      </c>
    </row>
    <row r="33" spans="1:30" x14ac:dyDescent="0.25">
      <c r="C33"/>
      <c r="D33" s="35" t="str">
        <f t="shared" si="5"/>
        <v/>
      </c>
      <c r="F33" s="34" t="str">
        <f t="shared" si="6"/>
        <v/>
      </c>
      <c r="AC33" s="34" t="str">
        <f t="shared" si="7"/>
        <v/>
      </c>
      <c r="AD33" s="34" t="str">
        <f t="shared" si="7"/>
        <v/>
      </c>
    </row>
    <row r="34" spans="1:30" x14ac:dyDescent="0.25">
      <c r="C34"/>
      <c r="D34" s="35" t="str">
        <f t="shared" si="5"/>
        <v/>
      </c>
      <c r="F34" s="34" t="str">
        <f t="shared" si="6"/>
        <v/>
      </c>
      <c r="AC34" s="34" t="str">
        <f t="shared" si="7"/>
        <v/>
      </c>
      <c r="AD34" s="34" t="str">
        <f t="shared" si="7"/>
        <v/>
      </c>
    </row>
    <row r="35" spans="1:30" x14ac:dyDescent="0.25">
      <c r="C35"/>
      <c r="D35" s="35" t="str">
        <f t="shared" si="5"/>
        <v/>
      </c>
      <c r="F35" s="34" t="str">
        <f t="shared" si="6"/>
        <v/>
      </c>
      <c r="AC35" s="34" t="str">
        <f t="shared" si="7"/>
        <v/>
      </c>
      <c r="AD35" s="34" t="str">
        <f t="shared" si="7"/>
        <v/>
      </c>
    </row>
    <row r="36" spans="1:30" x14ac:dyDescent="0.25">
      <c r="C36"/>
      <c r="D36" s="35" t="str">
        <f t="shared" si="5"/>
        <v/>
      </c>
      <c r="F36" s="34" t="str">
        <f t="shared" si="6"/>
        <v/>
      </c>
      <c r="AC36" s="34" t="str">
        <f t="shared" si="7"/>
        <v/>
      </c>
      <c r="AD36" s="34" t="str">
        <f t="shared" si="7"/>
        <v/>
      </c>
    </row>
    <row r="37" spans="1:30" x14ac:dyDescent="0.25">
      <c r="C37"/>
      <c r="D37" s="35" t="str">
        <f t="shared" si="5"/>
        <v/>
      </c>
      <c r="F37" s="34" t="str">
        <f t="shared" si="6"/>
        <v/>
      </c>
      <c r="G37" s="34" t="str">
        <f t="shared" si="6"/>
        <v/>
      </c>
      <c r="H37" s="34" t="str">
        <f t="shared" si="6"/>
        <v/>
      </c>
      <c r="I37" s="34" t="str">
        <f t="shared" si="6"/>
        <v/>
      </c>
      <c r="J37" s="34" t="str">
        <f t="shared" si="6"/>
        <v/>
      </c>
      <c r="K37" s="34" t="str">
        <f t="shared" si="6"/>
        <v/>
      </c>
      <c r="L37" s="34" t="str">
        <f t="shared" si="6"/>
        <v/>
      </c>
      <c r="M37" s="34" t="str">
        <f t="shared" si="6"/>
        <v/>
      </c>
      <c r="N37" s="34" t="str">
        <f t="shared" si="6"/>
        <v/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ref="V37:AQ38" si="8">IF(OR(V$14="",$E37=""),"",U37)</f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7"/>
        <v/>
      </c>
      <c r="AD37" s="34" t="str">
        <f t="shared" si="7"/>
        <v/>
      </c>
    </row>
    <row r="38" spans="1:30" x14ac:dyDescent="0.25">
      <c r="C38"/>
      <c r="D38" s="35" t="str">
        <f t="shared" si="5"/>
        <v/>
      </c>
      <c r="F38" s="34" t="str">
        <f t="shared" si="6"/>
        <v/>
      </c>
      <c r="G38" s="34" t="str">
        <f t="shared" si="6"/>
        <v/>
      </c>
      <c r="H38" s="34" t="str">
        <f t="shared" si="6"/>
        <v/>
      </c>
      <c r="I38" s="34" t="str">
        <f t="shared" si="6"/>
        <v/>
      </c>
      <c r="J38" s="34" t="str">
        <f t="shared" si="6"/>
        <v/>
      </c>
      <c r="K38" s="34" t="str">
        <f t="shared" si="6"/>
        <v/>
      </c>
      <c r="L38" s="34" t="str">
        <f t="shared" si="6"/>
        <v/>
      </c>
      <c r="M38" s="34" t="str">
        <f t="shared" si="6"/>
        <v/>
      </c>
      <c r="N38" s="34" t="str">
        <f t="shared" si="6"/>
        <v/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  <c r="Z38" s="34" t="str">
        <f t="shared" si="8"/>
        <v/>
      </c>
      <c r="AA38" s="34" t="str">
        <f t="shared" si="8"/>
        <v/>
      </c>
      <c r="AB38" s="34" t="str">
        <f t="shared" si="8"/>
        <v/>
      </c>
      <c r="AC38" s="34" t="str">
        <f t="shared" si="7"/>
        <v/>
      </c>
      <c r="AD38" s="34" t="str">
        <f t="shared" si="7"/>
        <v/>
      </c>
    </row>
    <row r="39" spans="1:30" x14ac:dyDescent="0.25">
      <c r="B39" s="105"/>
      <c r="C39" s="104"/>
      <c r="D39"/>
    </row>
    <row r="40" spans="1:30" x14ac:dyDescent="0.25">
      <c r="B40" s="105"/>
      <c r="C40" s="104"/>
      <c r="D40"/>
    </row>
    <row r="41" spans="1:30" x14ac:dyDescent="0.25">
      <c r="B41" s="105"/>
      <c r="C41" s="104"/>
      <c r="D41"/>
    </row>
    <row r="42" spans="1:30" x14ac:dyDescent="0.25">
      <c r="A42" s="102"/>
      <c r="B42" s="105"/>
      <c r="C42" s="104"/>
      <c r="D42"/>
    </row>
    <row r="43" spans="1:30" x14ac:dyDescent="0.25">
      <c r="A43" s="102"/>
      <c r="B43" s="105"/>
      <c r="C43" s="104"/>
      <c r="D43"/>
    </row>
    <row r="44" spans="1:30" x14ac:dyDescent="0.25">
      <c r="A44" s="32"/>
      <c r="C44"/>
      <c r="AC44" s="34" t="str">
        <f t="shared" ref="AC44:AD50" si="9">IF(OR(AC$14="",$E44=""),"",AB44)</f>
        <v/>
      </c>
      <c r="AD44" s="34" t="str">
        <f t="shared" si="9"/>
        <v/>
      </c>
    </row>
    <row r="45" spans="1:30" x14ac:dyDescent="0.25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5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5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5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5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5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5">
      <c r="A51" s="32"/>
      <c r="C51"/>
    </row>
    <row r="52" spans="1:30" x14ac:dyDescent="0.25">
      <c r="A52" s="32"/>
      <c r="C52"/>
      <c r="AC52" s="34" t="str">
        <f t="shared" ref="AC52:AD56" si="10">IF(OR(AC$14="",$E52=""),"",AB52)</f>
        <v/>
      </c>
      <c r="AD52" s="34" t="str">
        <f t="shared" si="10"/>
        <v/>
      </c>
    </row>
    <row r="53" spans="1:30" x14ac:dyDescent="0.25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5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5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5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5">
      <c r="C57"/>
      <c r="D57" s="35" t="str">
        <f t="shared" ref="D57" si="11">IF(A57&lt;&gt;"","Planned","")</f>
        <v/>
      </c>
    </row>
    <row r="58" spans="1:30" x14ac:dyDescent="0.25">
      <c r="C58"/>
    </row>
    <row r="59" spans="1:30" x14ac:dyDescent="0.25">
      <c r="C59"/>
    </row>
    <row r="60" spans="1:30" x14ac:dyDescent="0.25">
      <c r="C60"/>
    </row>
    <row r="61" spans="1:30" x14ac:dyDescent="0.25">
      <c r="C61"/>
    </row>
    <row r="62" spans="1:30" x14ac:dyDescent="0.25">
      <c r="C62"/>
    </row>
    <row r="63" spans="1:30" x14ac:dyDescent="0.25">
      <c r="C63"/>
    </row>
    <row r="64" spans="1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conditionalFormatting sqref="A15:E15 A18 A20:A24 A25:AD38 A42:AD51 B39:AD41 T15:AD24 F24:S24 F20:O20 B16:E24">
    <cfRule type="expression" dxfId="35" priority="47" stopIfTrue="1">
      <formula>$D15="Done"</formula>
    </cfRule>
    <cfRule type="expression" dxfId="34" priority="48" stopIfTrue="1">
      <formula>$D15="Ongoing"</formula>
    </cfRule>
  </conditionalFormatting>
  <conditionalFormatting sqref="A17">
    <cfRule type="expression" dxfId="55" priority="49" stopIfTrue="1">
      <formula>$D16="Done"</formula>
    </cfRule>
    <cfRule type="expression" dxfId="54" priority="50" stopIfTrue="1">
      <formula>$D16="Ongoing"</formula>
    </cfRule>
  </conditionalFormatting>
  <conditionalFormatting sqref="A19:A20">
    <cfRule type="expression" dxfId="53" priority="51" stopIfTrue="1">
      <formula>$D40="Done"</formula>
    </cfRule>
    <cfRule type="expression" dxfId="52" priority="52" stopIfTrue="1">
      <formula>$D40="Ongoing"</formula>
    </cfRule>
  </conditionalFormatting>
  <conditionalFormatting sqref="A19">
    <cfRule type="expression" dxfId="49" priority="43" stopIfTrue="1">
      <formula>$D19="Done"</formula>
    </cfRule>
    <cfRule type="expression" dxfId="48" priority="44" stopIfTrue="1">
      <formula>$D19="Ongoing"</formula>
    </cfRule>
  </conditionalFormatting>
  <conditionalFormatting sqref="A16">
    <cfRule type="expression" dxfId="47" priority="39" stopIfTrue="1">
      <formula>$D16="Done"</formula>
    </cfRule>
    <cfRule type="expression" dxfId="46" priority="40" stopIfTrue="1">
      <formula>$D16="Ongoing"</formula>
    </cfRule>
  </conditionalFormatting>
  <conditionalFormatting sqref="A16">
    <cfRule type="expression" dxfId="45" priority="41" stopIfTrue="1">
      <formula>$D37="Done"</formula>
    </cfRule>
    <cfRule type="expression" dxfId="44" priority="42" stopIfTrue="1">
      <formula>$D37="Ongoing"</formula>
    </cfRule>
  </conditionalFormatting>
  <conditionalFormatting sqref="F15:F19 F21:F23">
    <cfRule type="expression" dxfId="33" priority="29" stopIfTrue="1">
      <formula>$D15="Done"</formula>
    </cfRule>
    <cfRule type="expression" dxfId="32" priority="30" stopIfTrue="1">
      <formula>$D15="Ongoing"</formula>
    </cfRule>
  </conditionalFormatting>
  <conditionalFormatting sqref="G15:G19 G21:G23">
    <cfRule type="expression" dxfId="31" priority="27" stopIfTrue="1">
      <formula>$D15="Done"</formula>
    </cfRule>
    <cfRule type="expression" dxfId="30" priority="28" stopIfTrue="1">
      <formula>$D15="Ongoing"</formula>
    </cfRule>
  </conditionalFormatting>
  <conditionalFormatting sqref="H15:H19 I15:S16 H21:H23">
    <cfRule type="expression" dxfId="29" priority="25" stopIfTrue="1">
      <formula>$D15="Done"</formula>
    </cfRule>
    <cfRule type="expression" dxfId="28" priority="26" stopIfTrue="1">
      <formula>$D15="Ongoing"</formula>
    </cfRule>
  </conditionalFormatting>
  <conditionalFormatting sqref="K18:K19 L18:S18 K21:K23">
    <cfRule type="expression" dxfId="25" priority="21" stopIfTrue="1">
      <formula>$D18="Done"</formula>
    </cfRule>
    <cfRule type="expression" dxfId="24" priority="22" stopIfTrue="1">
      <formula>$D18="Ongoing"</formula>
    </cfRule>
  </conditionalFormatting>
  <conditionalFormatting sqref="J17:J19 K17:S17 J21:J23">
    <cfRule type="expression" dxfId="23" priority="19" stopIfTrue="1">
      <formula>$D17="Done"</formula>
    </cfRule>
    <cfRule type="expression" dxfId="22" priority="20" stopIfTrue="1">
      <formula>$D17="Ongoing"</formula>
    </cfRule>
  </conditionalFormatting>
  <conditionalFormatting sqref="L19 L21:L23">
    <cfRule type="expression" dxfId="21" priority="17" stopIfTrue="1">
      <formula>$D19="Done"</formula>
    </cfRule>
    <cfRule type="expression" dxfId="20" priority="18" stopIfTrue="1">
      <formula>$D19="Ongoing"</formula>
    </cfRule>
  </conditionalFormatting>
  <conditionalFormatting sqref="I17:I19 I21:I23">
    <cfRule type="expression" dxfId="19" priority="15" stopIfTrue="1">
      <formula>$D17="Done"</formula>
    </cfRule>
    <cfRule type="expression" dxfId="18" priority="16" stopIfTrue="1">
      <formula>$D17="Ongoing"</formula>
    </cfRule>
  </conditionalFormatting>
  <conditionalFormatting sqref="M19 M21:M23">
    <cfRule type="expression" dxfId="17" priority="13" stopIfTrue="1">
      <formula>$D19="Done"</formula>
    </cfRule>
    <cfRule type="expression" dxfId="16" priority="14" stopIfTrue="1">
      <formula>$D19="Ongoing"</formula>
    </cfRule>
  </conditionalFormatting>
  <conditionalFormatting sqref="N19 N21:N23">
    <cfRule type="expression" dxfId="15" priority="11" stopIfTrue="1">
      <formula>$D19="Done"</formula>
    </cfRule>
    <cfRule type="expression" dxfId="14" priority="12" stopIfTrue="1">
      <formula>$D19="Ongoing"</formula>
    </cfRule>
  </conditionalFormatting>
  <conditionalFormatting sqref="O19 O21:O23">
    <cfRule type="expression" dxfId="11" priority="9" stopIfTrue="1">
      <formula>$D19="Done"</formula>
    </cfRule>
    <cfRule type="expression" dxfId="10" priority="10" stopIfTrue="1">
      <formula>$D19="Ongoing"</formula>
    </cfRule>
  </conditionalFormatting>
  <conditionalFormatting sqref="P19:P23">
    <cfRule type="expression" dxfId="9" priority="7" stopIfTrue="1">
      <formula>$D19="Done"</formula>
    </cfRule>
    <cfRule type="expression" dxfId="8" priority="8" stopIfTrue="1">
      <formula>$D19="Ongoing"</formula>
    </cfRule>
  </conditionalFormatting>
  <conditionalFormatting sqref="Q19:Q23">
    <cfRule type="expression" dxfId="7" priority="5" stopIfTrue="1">
      <formula>$D19="Done"</formula>
    </cfRule>
    <cfRule type="expression" dxfId="6" priority="6" stopIfTrue="1">
      <formula>$D19="Ongoing"</formula>
    </cfRule>
  </conditionalFormatting>
  <conditionalFormatting sqref="S19:S23">
    <cfRule type="expression" dxfId="5" priority="3" stopIfTrue="1">
      <formula>$D19="Done"</formula>
    </cfRule>
    <cfRule type="expression" dxfId="4" priority="4" stopIfTrue="1">
      <formula>$D19="Ongoing"</formula>
    </cfRule>
  </conditionalFormatting>
  <conditionalFormatting sqref="R19:R23">
    <cfRule type="expression" dxfId="3" priority="1" stopIfTrue="1">
      <formula>$D19="Done"</formula>
    </cfRule>
    <cfRule type="expression" dxfId="2" priority="2" stopIfTrue="1">
      <formula>$D19="Ongoing"</formula>
    </cfRule>
  </conditionalFormatting>
  <dataValidations count="1">
    <dataValidation type="list" allowBlank="1" showInputMessage="1" sqref="D3:D8 D15:D57" xr:uid="{B5431E4F-EED4-4E0A-B71D-92C6329BC435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236220</xdr:colOff>
                    <xdr:row>5</xdr:row>
                    <xdr:rowOff>83820</xdr:rowOff>
                  </from>
                  <to>
                    <xdr:col>0</xdr:col>
                    <xdr:colOff>2103120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83820</xdr:rowOff>
                  </from>
                  <to>
                    <xdr:col>2</xdr:col>
                    <xdr:colOff>312420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8671875" defaultRowHeight="13.2" x14ac:dyDescent="0.25"/>
  <cols>
    <col min="1" max="1" width="38.44140625" customWidth="1"/>
    <col min="2" max="2" width="8.44140625" style="2" customWidth="1"/>
    <col min="3" max="3" width="13.5546875" customWidth="1"/>
    <col min="4" max="4" width="10.88671875" customWidth="1"/>
    <col min="5" max="5" width="6.44140625" style="2" customWidth="1"/>
    <col min="6" max="30" width="4.44140625" style="2" customWidth="1"/>
  </cols>
  <sheetData>
    <row r="1" spans="1:30" ht="17.399999999999999" x14ac:dyDescent="0.3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5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5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5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66" priority="1" stopIfTrue="1">
      <formula>$D15="Done"</formula>
    </cfRule>
    <cfRule type="expression" dxfId="65" priority="2" stopIfTrue="1">
      <formula>$D15="Ongoing"</formula>
    </cfRule>
  </conditionalFormatting>
  <conditionalFormatting sqref="A15:I18">
    <cfRule type="expression" dxfId="64" priority="3" stopIfTrue="1">
      <formula>$D15="Done"</formula>
    </cfRule>
    <cfRule type="expression" dxfId="63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2705100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3147060</xdr:colOff>
                    <xdr:row>5</xdr:row>
                    <xdr:rowOff>121920</xdr:rowOff>
                  </from>
                  <to>
                    <xdr:col>2</xdr:col>
                    <xdr:colOff>350520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70"/>
  <sheetViews>
    <sheetView zoomScale="70" zoomScaleNormal="70" workbookViewId="0"/>
  </sheetViews>
  <sheetFormatPr baseColWidth="10" defaultColWidth="9.109375" defaultRowHeight="13.2" x14ac:dyDescent="0.25"/>
  <cols>
    <col min="1" max="3" width="9.109375" style="35"/>
    <col min="4" max="4" width="32.6640625" style="35" customWidth="1"/>
    <col min="5" max="5" width="9.109375" style="35"/>
    <col min="6" max="6" width="32.6640625" style="35" customWidth="1"/>
    <col min="7" max="16384" width="9.109375" style="35"/>
  </cols>
  <sheetData>
    <row r="1" spans="1:6" x14ac:dyDescent="0.25">
      <c r="A1" s="84" t="s">
        <v>90</v>
      </c>
      <c r="B1" s="100" t="s">
        <v>100</v>
      </c>
      <c r="C1" s="85" t="s">
        <v>91</v>
      </c>
      <c r="D1" s="86" t="s">
        <v>107</v>
      </c>
      <c r="E1" s="86"/>
      <c r="F1" s="87"/>
    </row>
    <row r="2" spans="1:6" x14ac:dyDescent="0.25">
      <c r="A2" s="88" t="s">
        <v>92</v>
      </c>
      <c r="B2" s="81" t="s">
        <v>142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",'Sp3'!C15)</f>
        <v>Responsible Person: Marcelo A.</v>
      </c>
      <c r="B5" s="80"/>
      <c r="C5" s="80"/>
      <c r="D5" s="80"/>
      <c r="E5" s="80"/>
      <c r="F5" s="99"/>
    </row>
    <row r="6" spans="1:6" ht="27" thickBot="1" x14ac:dyDescent="0.3">
      <c r="A6" s="94" t="s">
        <v>89</v>
      </c>
      <c r="B6" s="101">
        <v>6</v>
      </c>
      <c r="C6" s="96" t="s">
        <v>94</v>
      </c>
      <c r="D6" s="95"/>
      <c r="E6" s="96" t="s">
        <v>93</v>
      </c>
      <c r="F6" s="97"/>
    </row>
    <row r="8" spans="1:6" ht="13.8" thickBot="1" x14ac:dyDescent="0.3"/>
    <row r="9" spans="1:6" x14ac:dyDescent="0.25">
      <c r="A9" s="84" t="s">
        <v>90</v>
      </c>
      <c r="B9" s="100" t="s">
        <v>100</v>
      </c>
      <c r="C9" s="85" t="s">
        <v>91</v>
      </c>
      <c r="D9" s="86" t="s">
        <v>107</v>
      </c>
      <c r="E9" s="86"/>
      <c r="F9" s="87"/>
    </row>
    <row r="10" spans="1:6" x14ac:dyDescent="0.25">
      <c r="A10" s="88" t="s">
        <v>92</v>
      </c>
      <c r="B10" s="81" t="s">
        <v>143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",'Sp3'!C16)</f>
        <v>Responsible Person: Marcelo A.</v>
      </c>
      <c r="B13" s="80"/>
      <c r="C13" s="80"/>
      <c r="D13" s="80"/>
      <c r="E13" s="80"/>
      <c r="F13" s="99"/>
    </row>
    <row r="14" spans="1:6" ht="27" thickBot="1" x14ac:dyDescent="0.3">
      <c r="A14" s="94" t="s">
        <v>89</v>
      </c>
      <c r="B14" s="101">
        <v>5</v>
      </c>
      <c r="C14" s="96" t="s">
        <v>94</v>
      </c>
      <c r="D14" s="95"/>
      <c r="E14" s="96" t="s">
        <v>93</v>
      </c>
      <c r="F14" s="97"/>
    </row>
    <row r="16" spans="1:6" ht="13.8" thickBot="1" x14ac:dyDescent="0.3"/>
    <row r="17" spans="1:6" x14ac:dyDescent="0.25">
      <c r="A17" s="84" t="s">
        <v>90</v>
      </c>
      <c r="B17" s="100" t="s">
        <v>100</v>
      </c>
      <c r="C17" s="85" t="s">
        <v>91</v>
      </c>
      <c r="D17" s="86" t="s">
        <v>107</v>
      </c>
      <c r="E17" s="86"/>
      <c r="F17" s="87"/>
    </row>
    <row r="18" spans="1:6" x14ac:dyDescent="0.25">
      <c r="A18" s="88" t="s">
        <v>92</v>
      </c>
      <c r="B18" s="81" t="s">
        <v>144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str">
        <f>CONCATENATE("Responsible Person: ",'Sp3'!C17)</f>
        <v>Responsible Person: Marcelo A.</v>
      </c>
      <c r="B21" s="80"/>
      <c r="C21" s="80"/>
      <c r="D21" s="80"/>
      <c r="E21" s="80"/>
      <c r="F21" s="99"/>
    </row>
    <row r="22" spans="1:6" ht="27" thickBot="1" x14ac:dyDescent="0.3">
      <c r="A22" s="94" t="s">
        <v>89</v>
      </c>
      <c r="B22" s="101">
        <v>12</v>
      </c>
      <c r="C22" s="96" t="s">
        <v>94</v>
      </c>
      <c r="D22" s="95"/>
      <c r="E22" s="96" t="s">
        <v>93</v>
      </c>
      <c r="F22" s="97"/>
    </row>
    <row r="24" spans="1:6" ht="13.8" thickBot="1" x14ac:dyDescent="0.3"/>
    <row r="25" spans="1:6" x14ac:dyDescent="0.25">
      <c r="A25" s="84" t="s">
        <v>90</v>
      </c>
      <c r="B25" s="100" t="s">
        <v>100</v>
      </c>
      <c r="C25" s="85" t="s">
        <v>91</v>
      </c>
      <c r="D25" s="86" t="s">
        <v>107</v>
      </c>
      <c r="E25" s="86"/>
      <c r="F25" s="87"/>
    </row>
    <row r="26" spans="1:6" x14ac:dyDescent="0.25">
      <c r="A26" s="88" t="s">
        <v>92</v>
      </c>
      <c r="B26" s="81" t="s">
        <v>145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",'Sp3'!C18)</f>
        <v>Responsible Person: Marcelo A.</v>
      </c>
      <c r="B29" s="80"/>
      <c r="C29" s="80"/>
      <c r="D29" s="80"/>
      <c r="E29" s="80"/>
      <c r="F29" s="99"/>
    </row>
    <row r="30" spans="1:6" ht="27" thickBot="1" x14ac:dyDescent="0.3">
      <c r="A30" s="94" t="s">
        <v>89</v>
      </c>
      <c r="B30" s="101">
        <v>4</v>
      </c>
      <c r="C30" s="96" t="s">
        <v>94</v>
      </c>
      <c r="D30" s="95"/>
      <c r="E30" s="96" t="s">
        <v>93</v>
      </c>
      <c r="F30" s="97"/>
    </row>
    <row r="32" spans="1:6" ht="13.8" thickBot="1" x14ac:dyDescent="0.3"/>
    <row r="33" spans="1:6" x14ac:dyDescent="0.25">
      <c r="A33" s="84" t="s">
        <v>90</v>
      </c>
      <c r="B33" s="100" t="s">
        <v>100</v>
      </c>
      <c r="C33" s="85" t="s">
        <v>91</v>
      </c>
      <c r="D33" s="86" t="s">
        <v>107</v>
      </c>
      <c r="E33" s="86"/>
      <c r="F33" s="87"/>
    </row>
    <row r="34" spans="1:6" x14ac:dyDescent="0.25">
      <c r="A34" s="88" t="s">
        <v>92</v>
      </c>
      <c r="B34" s="81" t="s">
        <v>146</v>
      </c>
      <c r="C34" s="81"/>
      <c r="D34" s="81"/>
      <c r="E34" s="81"/>
      <c r="F34" s="89"/>
    </row>
    <row r="35" spans="1:6" x14ac:dyDescent="0.25">
      <c r="A35" s="90"/>
      <c r="B35" s="82"/>
      <c r="C35" s="82"/>
      <c r="D35" s="82"/>
      <c r="E35" s="82"/>
      <c r="F35" s="91"/>
    </row>
    <row r="36" spans="1:6" x14ac:dyDescent="0.25">
      <c r="A36" s="92"/>
      <c r="B36" s="83"/>
      <c r="C36" s="83"/>
      <c r="D36" s="83"/>
      <c r="E36" s="83"/>
      <c r="F36" s="93"/>
    </row>
    <row r="37" spans="1:6" x14ac:dyDescent="0.25">
      <c r="A37" s="98" t="str">
        <f>CONCATENATE("Responsible Person: ",'Sp3'!C19)</f>
        <v>Responsible Person: Marcelo A.</v>
      </c>
      <c r="B37" s="80"/>
      <c r="C37" s="80"/>
      <c r="D37" s="80"/>
      <c r="E37" s="80"/>
      <c r="F37" s="99"/>
    </row>
    <row r="38" spans="1:6" ht="27" thickBot="1" x14ac:dyDescent="0.3">
      <c r="A38" s="94" t="s">
        <v>89</v>
      </c>
      <c r="B38" s="101">
        <v>10</v>
      </c>
      <c r="C38" s="96" t="s">
        <v>94</v>
      </c>
      <c r="D38" s="95"/>
      <c r="E38" s="96" t="s">
        <v>93</v>
      </c>
      <c r="F38" s="97"/>
    </row>
    <row r="40" spans="1:6" ht="13.8" thickBot="1" x14ac:dyDescent="0.3"/>
    <row r="41" spans="1:6" x14ac:dyDescent="0.25">
      <c r="A41" s="84" t="s">
        <v>90</v>
      </c>
      <c r="B41" s="100" t="s">
        <v>100</v>
      </c>
      <c r="C41" s="85" t="s">
        <v>91</v>
      </c>
      <c r="D41" s="86" t="s">
        <v>107</v>
      </c>
      <c r="E41" s="86"/>
      <c r="F41" s="87"/>
    </row>
    <row r="42" spans="1:6" x14ac:dyDescent="0.25">
      <c r="A42" s="88" t="s">
        <v>92</v>
      </c>
      <c r="B42" s="81" t="s">
        <v>147</v>
      </c>
      <c r="C42" s="81"/>
      <c r="D42" s="81"/>
      <c r="E42" s="81"/>
      <c r="F42" s="89"/>
    </row>
    <row r="43" spans="1:6" x14ac:dyDescent="0.25">
      <c r="A43" s="90"/>
      <c r="B43" s="82"/>
      <c r="C43" s="82"/>
      <c r="D43" s="82"/>
      <c r="E43" s="82"/>
      <c r="F43" s="91"/>
    </row>
    <row r="44" spans="1:6" x14ac:dyDescent="0.25">
      <c r="A44" s="92"/>
      <c r="B44" s="83"/>
      <c r="C44" s="83"/>
      <c r="D44" s="83"/>
      <c r="E44" s="83"/>
      <c r="F44" s="93"/>
    </row>
    <row r="45" spans="1:6" x14ac:dyDescent="0.25">
      <c r="A45" s="98" t="str">
        <f>CONCATENATE("Responsible Person: ",'Sp3'!C20)</f>
        <v>Responsible Person: Marcelo A.</v>
      </c>
      <c r="B45" s="80"/>
      <c r="C45" s="80"/>
      <c r="D45" s="80"/>
      <c r="E45" s="80"/>
      <c r="F45" s="99"/>
    </row>
    <row r="46" spans="1:6" ht="27" thickBot="1" x14ac:dyDescent="0.3">
      <c r="A46" s="94" t="s">
        <v>89</v>
      </c>
      <c r="B46" s="101">
        <v>12</v>
      </c>
      <c r="C46" s="96" t="s">
        <v>94</v>
      </c>
      <c r="D46" s="95"/>
      <c r="E46" s="96" t="s">
        <v>93</v>
      </c>
      <c r="F46" s="97"/>
    </row>
    <row r="48" spans="1:6" ht="13.8" thickBot="1" x14ac:dyDescent="0.3"/>
    <row r="49" spans="1:6" x14ac:dyDescent="0.25">
      <c r="A49" s="84" t="s">
        <v>90</v>
      </c>
      <c r="B49" s="100" t="s">
        <v>100</v>
      </c>
      <c r="C49" s="85" t="s">
        <v>91</v>
      </c>
      <c r="D49" s="86" t="s">
        <v>107</v>
      </c>
      <c r="E49" s="86"/>
      <c r="F49" s="87"/>
    </row>
    <row r="50" spans="1:6" x14ac:dyDescent="0.25">
      <c r="A50" s="88" t="s">
        <v>92</v>
      </c>
      <c r="B50" s="81" t="s">
        <v>148</v>
      </c>
      <c r="C50" s="81"/>
      <c r="D50" s="81"/>
      <c r="E50" s="81"/>
      <c r="F50" s="89"/>
    </row>
    <row r="51" spans="1:6" x14ac:dyDescent="0.25">
      <c r="A51" s="90"/>
      <c r="B51" s="82"/>
      <c r="C51" s="82"/>
      <c r="D51" s="82"/>
      <c r="E51" s="82"/>
      <c r="F51" s="91"/>
    </row>
    <row r="52" spans="1:6" x14ac:dyDescent="0.25">
      <c r="A52" s="92"/>
      <c r="B52" s="83"/>
      <c r="C52" s="83"/>
      <c r="D52" s="83"/>
      <c r="E52" s="83"/>
      <c r="F52" s="93"/>
    </row>
    <row r="53" spans="1:6" x14ac:dyDescent="0.25">
      <c r="A53" s="98" t="str">
        <f>CONCATENATE("Responsible Person: ",'Sp3'!C21)</f>
        <v>Responsible Person: Marcelo A.</v>
      </c>
      <c r="B53" s="80"/>
      <c r="C53" s="80"/>
      <c r="D53" s="80"/>
      <c r="E53" s="80"/>
      <c r="F53" s="99"/>
    </row>
    <row r="54" spans="1:6" ht="27" thickBot="1" x14ac:dyDescent="0.3">
      <c r="A54" s="94" t="s">
        <v>89</v>
      </c>
      <c r="B54" s="101">
        <v>5</v>
      </c>
      <c r="C54" s="96" t="s">
        <v>94</v>
      </c>
      <c r="D54" s="95"/>
      <c r="E54" s="96" t="s">
        <v>93</v>
      </c>
      <c r="F54" s="97"/>
    </row>
    <row r="56" spans="1:6" ht="13.8" thickBot="1" x14ac:dyDescent="0.3"/>
    <row r="57" spans="1:6" x14ac:dyDescent="0.25">
      <c r="A57" s="84" t="s">
        <v>90</v>
      </c>
      <c r="B57" s="100" t="s">
        <v>100</v>
      </c>
      <c r="C57" s="85" t="s">
        <v>91</v>
      </c>
      <c r="D57" s="86" t="s">
        <v>107</v>
      </c>
      <c r="E57" s="86"/>
      <c r="F57" s="87"/>
    </row>
    <row r="58" spans="1:6" x14ac:dyDescent="0.25">
      <c r="A58" s="88" t="s">
        <v>92</v>
      </c>
      <c r="B58" s="81" t="s">
        <v>150</v>
      </c>
      <c r="C58" s="81"/>
      <c r="D58" s="81"/>
      <c r="E58" s="81"/>
      <c r="F58" s="89"/>
    </row>
    <row r="59" spans="1:6" x14ac:dyDescent="0.25">
      <c r="A59" s="90"/>
      <c r="B59" s="82"/>
      <c r="C59" s="82"/>
      <c r="D59" s="82"/>
      <c r="E59" s="82"/>
      <c r="F59" s="91"/>
    </row>
    <row r="60" spans="1:6" x14ac:dyDescent="0.25">
      <c r="A60" s="92"/>
      <c r="B60" s="83"/>
      <c r="C60" s="83"/>
      <c r="D60" s="83"/>
      <c r="E60" s="83"/>
      <c r="F60" s="93"/>
    </row>
    <row r="61" spans="1:6" x14ac:dyDescent="0.25">
      <c r="A61" s="98" t="str">
        <f>CONCATENATE("Responsible Person: ",'Sp3'!C22)</f>
        <v>Responsible Person: Marcelo A.</v>
      </c>
      <c r="B61" s="80"/>
      <c r="C61" s="80"/>
      <c r="D61" s="80"/>
      <c r="E61" s="80"/>
      <c r="F61" s="99"/>
    </row>
    <row r="62" spans="1:6" ht="27" thickBot="1" x14ac:dyDescent="0.3">
      <c r="A62" s="94" t="s">
        <v>89</v>
      </c>
      <c r="B62" s="101">
        <v>10</v>
      </c>
      <c r="C62" s="96" t="s">
        <v>94</v>
      </c>
      <c r="D62" s="95"/>
      <c r="E62" s="96" t="s">
        <v>93</v>
      </c>
      <c r="F62" s="97"/>
    </row>
    <row r="64" spans="1:6" ht="13.8" thickBot="1" x14ac:dyDescent="0.3"/>
    <row r="65" spans="1:6" x14ac:dyDescent="0.25">
      <c r="A65" s="84" t="s">
        <v>90</v>
      </c>
      <c r="B65" s="100" t="s">
        <v>100</v>
      </c>
      <c r="C65" s="85" t="s">
        <v>91</v>
      </c>
      <c r="D65" s="86" t="s">
        <v>107</v>
      </c>
      <c r="E65" s="86"/>
      <c r="F65" s="87"/>
    </row>
    <row r="66" spans="1:6" x14ac:dyDescent="0.25">
      <c r="A66" s="88" t="s">
        <v>92</v>
      </c>
      <c r="B66" s="81" t="s">
        <v>149</v>
      </c>
      <c r="C66" s="81"/>
      <c r="D66" s="81"/>
      <c r="E66" s="81"/>
      <c r="F66" s="89"/>
    </row>
    <row r="67" spans="1:6" x14ac:dyDescent="0.25">
      <c r="A67" s="90"/>
      <c r="B67" s="82"/>
      <c r="C67" s="82"/>
      <c r="D67" s="82"/>
      <c r="E67" s="82"/>
      <c r="F67" s="91"/>
    </row>
    <row r="68" spans="1:6" x14ac:dyDescent="0.25">
      <c r="A68" s="92"/>
      <c r="B68" s="83"/>
      <c r="C68" s="83"/>
      <c r="D68" s="83"/>
      <c r="E68" s="83"/>
      <c r="F68" s="93"/>
    </row>
    <row r="69" spans="1:6" x14ac:dyDescent="0.25">
      <c r="A69" s="98" t="str">
        <f>CONCATENATE("Responsible Person: ",'Sp3'!C23)</f>
        <v>Responsible Person: Marcelo A.</v>
      </c>
      <c r="B69" s="80"/>
      <c r="C69" s="80"/>
      <c r="D69" s="80"/>
      <c r="E69" s="80"/>
      <c r="F69" s="99"/>
    </row>
    <row r="70" spans="1:6" ht="27" thickBot="1" x14ac:dyDescent="0.3">
      <c r="A70" s="94" t="s">
        <v>89</v>
      </c>
      <c r="B70" s="101">
        <v>10</v>
      </c>
      <c r="C70" s="96" t="s">
        <v>94</v>
      </c>
      <c r="D70" s="95"/>
      <c r="E70" s="96" t="s">
        <v>93</v>
      </c>
      <c r="F7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57</vt:i4>
      </vt:variant>
    </vt:vector>
  </HeadingPairs>
  <TitlesOfParts>
    <vt:vector size="67" baseType="lpstr">
      <vt:lpstr>Release Plan</vt:lpstr>
      <vt:lpstr>Product Backlog</vt:lpstr>
      <vt:lpstr>PB Burndown</vt:lpstr>
      <vt:lpstr>Sp1</vt:lpstr>
      <vt:lpstr>Sp2</vt:lpstr>
      <vt:lpstr>Sp3</vt:lpstr>
      <vt:lpstr>Sp4</vt:lpstr>
      <vt:lpstr>Sp5</vt:lpstr>
      <vt:lpstr>Sprint Sheet Template</vt:lpstr>
      <vt:lpstr>Task Slips</vt:lpstr>
      <vt:lpstr>'Product Backlog'!Área_de_impresión</vt:lpstr>
      <vt:lpstr>'Sp1'!DoneDays</vt:lpstr>
      <vt:lpstr>'Sp2'!DoneDays</vt:lpstr>
      <vt:lpstr>'Sp3'!DoneDays</vt:lpstr>
      <vt:lpstr>'Sp4'!DoneDays</vt:lpstr>
      <vt:lpstr>'Sp5'!DoneDays</vt:lpstr>
      <vt:lpstr>'Sprint Sheet Template'!DoneDays</vt:lpstr>
      <vt:lpstr>'Sp1'!ImplementationDays</vt:lpstr>
      <vt:lpstr>'Sp2'!ImplementationDays</vt:lpstr>
      <vt:lpstr>'Sp3'!ImplementationDays</vt:lpstr>
      <vt:lpstr>'Sp4'!ImplementationDays</vt:lpstr>
      <vt:lpstr>'Sp5'!ImplementationDays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'Sp3'!SprintTasks</vt:lpstr>
      <vt:lpstr>'Sp4'!SprintTasks</vt:lpstr>
      <vt:lpstr>'Sp5'!SprintTasks</vt:lpstr>
      <vt:lpstr>SprintTasks</vt:lpstr>
      <vt:lpstr>Status</vt:lpstr>
      <vt:lpstr>StoryName</vt:lpstr>
      <vt:lpstr>'Sp1'!TaskRows</vt:lpstr>
      <vt:lpstr>'Sp2'!TaskRows</vt:lpstr>
      <vt:lpstr>'Sp3'!TaskRows</vt:lpstr>
      <vt:lpstr>'Sp4'!TaskRows</vt:lpstr>
      <vt:lpstr>'Sp5'!TaskRows</vt:lpstr>
      <vt:lpstr>'Sprint Sheet Template'!TaskRows</vt:lpstr>
      <vt:lpstr>'Sp1'!TaskStatus</vt:lpstr>
      <vt:lpstr>'Sp2'!TaskStatus</vt:lpstr>
      <vt:lpstr>'Sp3'!TaskStatus</vt:lpstr>
      <vt:lpstr>'Sp4'!TaskStatus</vt:lpstr>
      <vt:lpstr>'Sp5'!TaskStatus</vt:lpstr>
      <vt:lpstr>TaskStatus</vt:lpstr>
      <vt:lpstr>'Sp1'!TaskStoryID</vt:lpstr>
      <vt:lpstr>'Sp2'!TaskStoryID</vt:lpstr>
      <vt:lpstr>'Sp3'!TaskStoryID</vt:lpstr>
      <vt:lpstr>'Sp4'!TaskStoryID</vt:lpstr>
      <vt:lpstr>'Sp5'!TaskStoryID</vt:lpstr>
      <vt:lpstr>TaskStoryID</vt:lpstr>
      <vt:lpstr>'Sp1'!TotalEffort</vt:lpstr>
      <vt:lpstr>'Sp2'!TotalEffort</vt:lpstr>
      <vt:lpstr>'Sp3'!TotalEffort</vt:lpstr>
      <vt:lpstr>'Sp4'!TotalEffort</vt:lpstr>
      <vt:lpstr>'Sp5'!TotalEffort</vt:lpstr>
      <vt:lpstr>'Sprint Sheet Template'!TotalEffort</vt:lpstr>
      <vt:lpstr>'Sp1'!TrendDays</vt:lpstr>
      <vt:lpstr>'Sp2'!TrendDays</vt:lpstr>
      <vt:lpstr>'Sp3'!TrendDays</vt:lpstr>
      <vt:lpstr>'Sp4'!TrendDays</vt:lpstr>
      <vt:lpstr>'Sp5'!TrendDays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2018-08-20T17:14:40Z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