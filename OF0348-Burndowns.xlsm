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F023DBF0-382F-426F-8508-21B738D59C02}" xr6:coauthVersionLast="34" xr6:coauthVersionMax="34" xr10:uidLastSave="{00000000-0000-0000-0000-000000000000}"/>
  <bookViews>
    <workbookView xWindow="2780" yWindow="4280" windowWidth="11620" windowHeight="2070" tabRatio="576" activeTab="5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3" sheetId="23" r:id="rId6"/>
    <sheet name="Sprint Sheet Template" sheetId="16" r:id="rId7"/>
    <sheet name="Task Slips" sheetId="21" r:id="rId8"/>
  </sheets>
  <definedNames>
    <definedName name="_xlnm.Print_Area" localSheetId="1">'Product Backlog'!$A:$G</definedName>
    <definedName name="_xlnm.Print_Area" localSheetId="7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'Sp3'!$D$11</definedName>
    <definedName name="DoneDays" localSheetId="6">'Sprint Sheet Template'!$D$11</definedName>
    <definedName name="DoneDays">#REF!</definedName>
    <definedName name="ImplementationDays" localSheetId="3">'Sp1'!$B$9</definedName>
    <definedName name="ImplementationDays" localSheetId="4">'Sp2'!$B$9</definedName>
    <definedName name="ImplementationDays" localSheetId="5">'Sp3'!$B$9</definedName>
    <definedName name="ImplementationDays" localSheetId="6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OFFSET('Sp3'!$F$10,0,0,1,'Sp3'!DoneDays)</definedName>
    <definedName name="RealValues" localSheetId="6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'Sp2'!$A$14:$AD$59</definedName>
    <definedName name="SprintTasks" localSheetId="5">'Sp3'!$A$14:$AD$59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'Sp3'!$B$11</definedName>
    <definedName name="TaskRows" localSheetId="6">'Sprint Sheet Template'!$B$11</definedName>
    <definedName name="TaskRows">#REF!</definedName>
    <definedName name="TaskStatus" localSheetId="3">'Sp1'!$D$14:$D$57</definedName>
    <definedName name="TaskStatus" localSheetId="4">'Sp2'!$D$14:$D$54</definedName>
    <definedName name="TaskStatus" localSheetId="5">'Sp3'!$D$14:$D$54</definedName>
    <definedName name="TaskStatus">'Sprint Sheet Template'!$D$14:$D$58</definedName>
    <definedName name="TaskStoryID" localSheetId="3">'Sp1'!$B$14:$B$52</definedName>
    <definedName name="TaskStoryID" localSheetId="4">'Sp2'!$B$14:$B$49</definedName>
    <definedName name="TaskStoryID" localSheetId="5">'Sp3'!$B$14:$B$49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'Sp3'!$E$10</definedName>
    <definedName name="TotalEffort" localSheetId="6">'Sprint Sheet Template'!$E$10</definedName>
    <definedName name="TotalEffort">#REF!</definedName>
    <definedName name="TrendDays" localSheetId="3">'Sp1'!$D$13</definedName>
    <definedName name="TrendDays" localSheetId="4">'Sp2'!$D$13</definedName>
    <definedName name="TrendDays" localSheetId="5">'Sp3'!$D$13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0" i="23" l="1"/>
  <c r="F59" i="23"/>
  <c r="D59" i="23"/>
  <c r="F58" i="23"/>
  <c r="D58" i="23"/>
  <c r="F57" i="23"/>
  <c r="D57" i="23"/>
  <c r="F56" i="23"/>
  <c r="D56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G14" i="23"/>
  <c r="G59" i="23" s="1"/>
  <c r="B11" i="23"/>
  <c r="AB10" i="23" s="1"/>
  <c r="O10" i="23" l="1"/>
  <c r="H10" i="23"/>
  <c r="P10" i="23"/>
  <c r="X10" i="23"/>
  <c r="W10" i="23"/>
  <c r="K10" i="23"/>
  <c r="S10" i="23"/>
  <c r="AA10" i="23"/>
  <c r="G10" i="23"/>
  <c r="L10" i="23"/>
  <c r="T10" i="23"/>
  <c r="E10" i="23"/>
  <c r="I10" i="23"/>
  <c r="M10" i="23"/>
  <c r="Q10" i="23"/>
  <c r="U10" i="23"/>
  <c r="Y10" i="23"/>
  <c r="G58" i="23"/>
  <c r="F10" i="23"/>
  <c r="J10" i="23"/>
  <c r="N10" i="23"/>
  <c r="R10" i="23"/>
  <c r="V10" i="23"/>
  <c r="Z10" i="23"/>
  <c r="H14" i="23"/>
  <c r="D60" i="22"/>
  <c r="F59" i="22"/>
  <c r="D59" i="22"/>
  <c r="F58" i="22"/>
  <c r="D58" i="22"/>
  <c r="F57" i="22"/>
  <c r="D57" i="22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G14" i="22"/>
  <c r="H14" i="22" s="1"/>
  <c r="B11" i="22"/>
  <c r="AA10" i="22" s="1"/>
  <c r="I14" i="23" l="1"/>
  <c r="H11" i="23"/>
  <c r="H58" i="23"/>
  <c r="H59" i="23"/>
  <c r="G11" i="23"/>
  <c r="F11" i="23"/>
  <c r="G58" i="22"/>
  <c r="H59" i="22"/>
  <c r="H58" i="22"/>
  <c r="I14" i="22"/>
  <c r="I58" i="22" s="1"/>
  <c r="G59" i="22"/>
  <c r="H10" i="22"/>
  <c r="M10" i="22"/>
  <c r="U10" i="22"/>
  <c r="F10" i="22"/>
  <c r="J10" i="22"/>
  <c r="P10" i="22"/>
  <c r="AB10" i="22"/>
  <c r="G10" i="22"/>
  <c r="K10" i="22"/>
  <c r="T10" i="22"/>
  <c r="E10" i="22"/>
  <c r="F11" i="22" s="1"/>
  <c r="I10" i="22"/>
  <c r="O10" i="22"/>
  <c r="X10" i="22"/>
  <c r="L10" i="22"/>
  <c r="Q10" i="22"/>
  <c r="Y10" i="22"/>
  <c r="N10" i="22"/>
  <c r="R10" i="22"/>
  <c r="V10" i="22"/>
  <c r="Z10" i="22"/>
  <c r="S10" i="22"/>
  <c r="W10" i="22"/>
  <c r="A61" i="21"/>
  <c r="A53" i="21"/>
  <c r="A45" i="21"/>
  <c r="A37" i="21"/>
  <c r="A29" i="21"/>
  <c r="A21" i="21"/>
  <c r="A13" i="21"/>
  <c r="A5" i="21"/>
  <c r="I58" i="23" l="1"/>
  <c r="J14" i="23"/>
  <c r="I59" i="23"/>
  <c r="I11" i="23"/>
  <c r="G11" i="22"/>
  <c r="J14" i="22"/>
  <c r="J11" i="22" s="1"/>
  <c r="I59" i="22"/>
  <c r="I11" i="22"/>
  <c r="H11" i="22"/>
  <c r="K14" i="22"/>
  <c r="E18" i="7"/>
  <c r="D15" i="20"/>
  <c r="D15" i="16"/>
  <c r="C28" i="20"/>
  <c r="J59" i="23" l="1"/>
  <c r="J58" i="23"/>
  <c r="K14" i="23"/>
  <c r="J11" i="23"/>
  <c r="J58" i="22"/>
  <c r="J59" i="22"/>
  <c r="K59" i="22"/>
  <c r="K58" i="22"/>
  <c r="L14" i="22"/>
  <c r="K11" i="22"/>
  <c r="B17" i="7"/>
  <c r="B18" i="7" s="1"/>
  <c r="G4" i="20"/>
  <c r="D10" i="20" s="1"/>
  <c r="D11" i="20" s="1"/>
  <c r="B28" i="20"/>
  <c r="F28" i="20" s="1"/>
  <c r="E16" i="7"/>
  <c r="E17" i="7"/>
  <c r="E19" i="7"/>
  <c r="E20" i="7"/>
  <c r="D16" i="7"/>
  <c r="E21" i="7"/>
  <c r="G14" i="19"/>
  <c r="H14" i="19" s="1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D4" i="7" s="1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AD10" i="16" s="1"/>
  <c r="F15" i="16"/>
  <c r="F16" i="16"/>
  <c r="F17" i="16"/>
  <c r="F18" i="16"/>
  <c r="E10" i="7"/>
  <c r="E9" i="7"/>
  <c r="E8" i="7"/>
  <c r="E7" i="7"/>
  <c r="E6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H59" i="16" s="1"/>
  <c r="Z10" i="16"/>
  <c r="V10" i="16"/>
  <c r="R10" i="16"/>
  <c r="J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8" i="16"/>
  <c r="K59" i="23" l="1"/>
  <c r="L14" i="23"/>
  <c r="K11" i="23"/>
  <c r="K58" i="23"/>
  <c r="L58" i="22"/>
  <c r="M14" i="22"/>
  <c r="L11" i="22"/>
  <c r="L59" i="22"/>
  <c r="N10" i="16"/>
  <c r="F10" i="16"/>
  <c r="AC10" i="16"/>
  <c r="Y10" i="16"/>
  <c r="U10" i="16"/>
  <c r="Q10" i="16"/>
  <c r="M10" i="16"/>
  <c r="I10" i="16"/>
  <c r="AA10" i="16"/>
  <c r="W10" i="16"/>
  <c r="S10" i="16"/>
  <c r="O10" i="16"/>
  <c r="K10" i="16"/>
  <c r="G10" i="16"/>
  <c r="AB10" i="16"/>
  <c r="X10" i="16"/>
  <c r="T10" i="16"/>
  <c r="P10" i="16"/>
  <c r="L10" i="16"/>
  <c r="H10" i="16"/>
  <c r="I14" i="16"/>
  <c r="E4" i="7"/>
  <c r="D17" i="7"/>
  <c r="E5" i="7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P30" i="20"/>
  <c r="H11" i="16"/>
  <c r="I11" i="16"/>
  <c r="D18" i="7"/>
  <c r="B19" i="7"/>
  <c r="G11" i="16"/>
  <c r="P33" i="20"/>
  <c r="P29" i="20"/>
  <c r="P28" i="20"/>
  <c r="P32" i="20"/>
  <c r="P31" i="20"/>
  <c r="Q29" i="20"/>
  <c r="Q31" i="20"/>
  <c r="Q33" i="20"/>
  <c r="Q28" i="20"/>
  <c r="Q30" i="20"/>
  <c r="Q32" i="20"/>
  <c r="M14" i="23" l="1"/>
  <c r="L11" i="23"/>
  <c r="L58" i="23"/>
  <c r="L59" i="23"/>
  <c r="D11" i="16"/>
  <c r="F13" i="16" s="1"/>
  <c r="M58" i="22"/>
  <c r="N14" i="22"/>
  <c r="M11" i="22"/>
  <c r="M59" i="22"/>
  <c r="I59" i="16"/>
  <c r="J14" i="16"/>
  <c r="I58" i="16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M58" i="23" l="1"/>
  <c r="M59" i="23"/>
  <c r="N14" i="23"/>
  <c r="M11" i="23"/>
  <c r="D13" i="16"/>
  <c r="R12" i="16" s="1"/>
  <c r="O14" i="22"/>
  <c r="N11" i="22"/>
  <c r="N59" i="22"/>
  <c r="N58" i="22"/>
  <c r="J59" i="16"/>
  <c r="K14" i="16"/>
  <c r="J58" i="16"/>
  <c r="J11" i="16"/>
  <c r="E30" i="20"/>
  <c r="F30" i="20"/>
  <c r="G30" i="20" s="1"/>
  <c r="B31" i="20"/>
  <c r="E31" i="20" s="1"/>
  <c r="K14" i="19"/>
  <c r="J61" i="19"/>
  <c r="J62" i="19"/>
  <c r="J11" i="19"/>
  <c r="K29" i="20"/>
  <c r="B21" i="7"/>
  <c r="D20" i="7"/>
  <c r="N59" i="23" l="1"/>
  <c r="O14" i="23"/>
  <c r="N11" i="23"/>
  <c r="N58" i="23"/>
  <c r="AB12" i="16"/>
  <c r="N12" i="16"/>
  <c r="K12" i="16"/>
  <c r="P12" i="16"/>
  <c r="AD12" i="16"/>
  <c r="H12" i="16"/>
  <c r="T12" i="16"/>
  <c r="AC12" i="16"/>
  <c r="J12" i="16"/>
  <c r="O12" i="16"/>
  <c r="U12" i="16"/>
  <c r="F12" i="16"/>
  <c r="S12" i="16"/>
  <c r="AA12" i="16"/>
  <c r="G12" i="16"/>
  <c r="V12" i="16"/>
  <c r="Z12" i="16"/>
  <c r="L12" i="16"/>
  <c r="I12" i="16"/>
  <c r="Y12" i="16"/>
  <c r="Q12" i="16"/>
  <c r="X12" i="16"/>
  <c r="M12" i="16"/>
  <c r="W12" i="16"/>
  <c r="O59" i="22"/>
  <c r="O58" i="22"/>
  <c r="P14" i="22"/>
  <c r="O11" i="22"/>
  <c r="I31" i="20"/>
  <c r="K58" i="16"/>
  <c r="K59" i="16"/>
  <c r="K11" i="16"/>
  <c r="L14" i="16"/>
  <c r="B32" i="20"/>
  <c r="B33" i="20" s="1"/>
  <c r="F33" i="20" s="1"/>
  <c r="F31" i="20"/>
  <c r="G31" i="20" s="1"/>
  <c r="K30" i="20"/>
  <c r="N31" i="20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O59" i="23" l="1"/>
  <c r="P14" i="23"/>
  <c r="O11" i="23"/>
  <c r="O58" i="23"/>
  <c r="P58" i="22"/>
  <c r="Q14" i="22"/>
  <c r="P11" i="22"/>
  <c r="P59" i="22"/>
  <c r="L58" i="16"/>
  <c r="L59" i="16"/>
  <c r="L11" i="16"/>
  <c r="M14" i="16"/>
  <c r="I32" i="20"/>
  <c r="H32" i="20" s="1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Q14" i="23" l="1"/>
  <c r="P11" i="23"/>
  <c r="P58" i="23"/>
  <c r="P59" i="23"/>
  <c r="Q58" i="22"/>
  <c r="R14" i="22"/>
  <c r="Q11" i="22"/>
  <c r="Q59" i="22"/>
  <c r="N14" i="16"/>
  <c r="M58" i="16"/>
  <c r="M11" i="16"/>
  <c r="M59" i="16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Q58" i="23" l="1"/>
  <c r="R14" i="23"/>
  <c r="Q59" i="23"/>
  <c r="Q11" i="23"/>
  <c r="S14" i="22"/>
  <c r="R11" i="22"/>
  <c r="R59" i="22"/>
  <c r="R58" i="22"/>
  <c r="N59" i="16"/>
  <c r="N58" i="16"/>
  <c r="O14" i="16"/>
  <c r="N11" i="16"/>
  <c r="M32" i="20"/>
  <c r="M33" i="20"/>
  <c r="M29" i="20"/>
  <c r="N61" i="19"/>
  <c r="N62" i="19"/>
  <c r="N11" i="19"/>
  <c r="O14" i="19"/>
  <c r="G3" i="20"/>
  <c r="B25" i="7"/>
  <c r="D24" i="7"/>
  <c r="A24" i="7"/>
  <c r="E24" i="7" s="1"/>
  <c r="R59" i="23" l="1"/>
  <c r="R58" i="23"/>
  <c r="S14" i="23"/>
  <c r="R11" i="23"/>
  <c r="S59" i="22"/>
  <c r="S58" i="22"/>
  <c r="T14" i="22"/>
  <c r="S11" i="22"/>
  <c r="O58" i="16"/>
  <c r="O59" i="16"/>
  <c r="O11" i="16"/>
  <c r="P14" i="16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S59" i="23" l="1"/>
  <c r="T14" i="23"/>
  <c r="S11" i="23"/>
  <c r="S58" i="23"/>
  <c r="T58" i="22"/>
  <c r="U14" i="22"/>
  <c r="T11" i="22"/>
  <c r="T59" i="22"/>
  <c r="P58" i="16"/>
  <c r="P59" i="16"/>
  <c r="P11" i="16"/>
  <c r="Q14" i="16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U14" i="23" l="1"/>
  <c r="T11" i="23"/>
  <c r="T58" i="23"/>
  <c r="T59" i="23"/>
  <c r="U58" i="22"/>
  <c r="V14" i="22"/>
  <c r="U11" i="22"/>
  <c r="U59" i="22"/>
  <c r="R14" i="16"/>
  <c r="Q11" i="16"/>
  <c r="Q58" i="16"/>
  <c r="Q59" i="16"/>
  <c r="Q61" i="19"/>
  <c r="Q11" i="19"/>
  <c r="R14" i="19"/>
  <c r="Q62" i="19"/>
  <c r="D27" i="7"/>
  <c r="B28" i="7"/>
  <c r="A27" i="7"/>
  <c r="E27" i="7" s="1"/>
  <c r="U58" i="23" l="1"/>
  <c r="U59" i="23"/>
  <c r="V14" i="23"/>
  <c r="U11" i="23"/>
  <c r="W14" i="22"/>
  <c r="V11" i="22"/>
  <c r="V59" i="22"/>
  <c r="V58" i="22"/>
  <c r="R11" i="16"/>
  <c r="R58" i="16"/>
  <c r="S14" i="16"/>
  <c r="R59" i="16"/>
  <c r="R61" i="19"/>
  <c r="R62" i="19"/>
  <c r="S14" i="19"/>
  <c r="R11" i="19"/>
  <c r="D28" i="7"/>
  <c r="B29" i="7"/>
  <c r="A28" i="7"/>
  <c r="E28" i="7" s="1"/>
  <c r="V59" i="23" l="1"/>
  <c r="W14" i="23"/>
  <c r="V11" i="23"/>
  <c r="V58" i="23"/>
  <c r="W59" i="22"/>
  <c r="W58" i="22"/>
  <c r="X14" i="22"/>
  <c r="W11" i="22"/>
  <c r="S58" i="16"/>
  <c r="S59" i="16"/>
  <c r="S11" i="16"/>
  <c r="T14" i="16"/>
  <c r="S11" i="19"/>
  <c r="S62" i="19"/>
  <c r="S61" i="19"/>
  <c r="T14" i="19"/>
  <c r="A29" i="7"/>
  <c r="E29" i="7" s="1"/>
  <c r="D29" i="7"/>
  <c r="B30" i="7"/>
  <c r="W59" i="23" l="1"/>
  <c r="X14" i="23"/>
  <c r="W11" i="23"/>
  <c r="W58" i="23"/>
  <c r="X58" i="22"/>
  <c r="Y14" i="22"/>
  <c r="X11" i="22"/>
  <c r="X59" i="22"/>
  <c r="T58" i="16"/>
  <c r="T59" i="16"/>
  <c r="T11" i="16"/>
  <c r="U14" i="16"/>
  <c r="T61" i="19"/>
  <c r="T62" i="19"/>
  <c r="U14" i="19"/>
  <c r="T11" i="19"/>
  <c r="A30" i="7"/>
  <c r="E30" i="7" s="1"/>
  <c r="D30" i="7"/>
  <c r="Y14" i="23" l="1"/>
  <c r="X11" i="23"/>
  <c r="X58" i="23"/>
  <c r="X59" i="23"/>
  <c r="Y58" i="22"/>
  <c r="Z14" i="22"/>
  <c r="Y11" i="22"/>
  <c r="Y59" i="22"/>
  <c r="V14" i="16"/>
  <c r="U11" i="16"/>
  <c r="U58" i="16"/>
  <c r="U59" i="16"/>
  <c r="U11" i="19"/>
  <c r="U61" i="19"/>
  <c r="V14" i="19"/>
  <c r="U62" i="19"/>
  <c r="Y58" i="23" l="1"/>
  <c r="Y11" i="23"/>
  <c r="Y59" i="23"/>
  <c r="Z14" i="23"/>
  <c r="AA14" i="22"/>
  <c r="Z11" i="22"/>
  <c r="Z59" i="22"/>
  <c r="Z58" i="22"/>
  <c r="V11" i="16"/>
  <c r="V58" i="16"/>
  <c r="W14" i="16"/>
  <c r="V59" i="16"/>
  <c r="V61" i="19"/>
  <c r="V62" i="19"/>
  <c r="V11" i="19"/>
  <c r="W14" i="19"/>
  <c r="Z59" i="23" l="1"/>
  <c r="Z58" i="23"/>
  <c r="AA14" i="23"/>
  <c r="Z11" i="23"/>
  <c r="AA59" i="22"/>
  <c r="AA58" i="22"/>
  <c r="AB14" i="22"/>
  <c r="AA11" i="22"/>
  <c r="W58" i="16"/>
  <c r="W59" i="16"/>
  <c r="W11" i="16"/>
  <c r="X14" i="16"/>
  <c r="W62" i="19"/>
  <c r="W11" i="19"/>
  <c r="X14" i="19"/>
  <c r="W61" i="19"/>
  <c r="AA59" i="23" l="1"/>
  <c r="AB14" i="23"/>
  <c r="AA11" i="23"/>
  <c r="AA58" i="23"/>
  <c r="AB58" i="22"/>
  <c r="AC14" i="22"/>
  <c r="AB11" i="22"/>
  <c r="AB59" i="22"/>
  <c r="X58" i="16"/>
  <c r="X11" i="16"/>
  <c r="X59" i="16"/>
  <c r="Y14" i="16"/>
  <c r="X61" i="19"/>
  <c r="X62" i="19"/>
  <c r="Y14" i="19"/>
  <c r="X11" i="19"/>
  <c r="AC14" i="23" l="1"/>
  <c r="AB11" i="23"/>
  <c r="AB58" i="23"/>
  <c r="AB59" i="23"/>
  <c r="AC58" i="22"/>
  <c r="AC35" i="22"/>
  <c r="AC33" i="22"/>
  <c r="AC30" i="22"/>
  <c r="AC28" i="22"/>
  <c r="AC26" i="22"/>
  <c r="AC24" i="22"/>
  <c r="AC22" i="22"/>
  <c r="AC18" i="22"/>
  <c r="AD14" i="22"/>
  <c r="AC11" i="22"/>
  <c r="AC59" i="22"/>
  <c r="AC57" i="22"/>
  <c r="AC56" i="22"/>
  <c r="AC55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4" i="22"/>
  <c r="AC32" i="22"/>
  <c r="AC29" i="22"/>
  <c r="AC27" i="22"/>
  <c r="AC25" i="22"/>
  <c r="AC23" i="22"/>
  <c r="AC20" i="22"/>
  <c r="AC19" i="22"/>
  <c r="Z14" i="16"/>
  <c r="Y58" i="16"/>
  <c r="Y11" i="16"/>
  <c r="Y59" i="16"/>
  <c r="Y11" i="19"/>
  <c r="Y61" i="19"/>
  <c r="Z14" i="19"/>
  <c r="Y62" i="19"/>
  <c r="AC58" i="23" l="1"/>
  <c r="AC35" i="23"/>
  <c r="AC33" i="23"/>
  <c r="AC30" i="23"/>
  <c r="AC28" i="23"/>
  <c r="AC26" i="23"/>
  <c r="AC24" i="23"/>
  <c r="AC22" i="23"/>
  <c r="AC19" i="23"/>
  <c r="AD14" i="23"/>
  <c r="AC11" i="23"/>
  <c r="AC59" i="23"/>
  <c r="AC57" i="23"/>
  <c r="AC56" i="23"/>
  <c r="AC55" i="23"/>
  <c r="AC54" i="23"/>
  <c r="AC53" i="23"/>
  <c r="AC52" i="23"/>
  <c r="AC51" i="23"/>
  <c r="AC50" i="23"/>
  <c r="AC49" i="23"/>
  <c r="AC48" i="23"/>
  <c r="AC47" i="23"/>
  <c r="AC46" i="23"/>
  <c r="AC45" i="23"/>
  <c r="AC44" i="23"/>
  <c r="AC43" i="23"/>
  <c r="AC42" i="23"/>
  <c r="AC41" i="23"/>
  <c r="AC40" i="23"/>
  <c r="AC39" i="23"/>
  <c r="AC38" i="23"/>
  <c r="AC37" i="23"/>
  <c r="AC36" i="23"/>
  <c r="AC34" i="23"/>
  <c r="AC32" i="23"/>
  <c r="AC29" i="23"/>
  <c r="AC27" i="23"/>
  <c r="AC25" i="23"/>
  <c r="AC23" i="23"/>
  <c r="AC20" i="23"/>
  <c r="AC18" i="23"/>
  <c r="AC10" i="22"/>
  <c r="AD11" i="22"/>
  <c r="AD59" i="22"/>
  <c r="AD57" i="22"/>
  <c r="AD56" i="22"/>
  <c r="AD55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4" i="22"/>
  <c r="AD32" i="22"/>
  <c r="AD29" i="22"/>
  <c r="AD27" i="22"/>
  <c r="AD25" i="22"/>
  <c r="AD23" i="22"/>
  <c r="AD20" i="22"/>
  <c r="AD19" i="22"/>
  <c r="AD58" i="22"/>
  <c r="AD35" i="22"/>
  <c r="AD33" i="22"/>
  <c r="AD30" i="22"/>
  <c r="AD28" i="22"/>
  <c r="AD26" i="22"/>
  <c r="AD24" i="22"/>
  <c r="AD22" i="22"/>
  <c r="AD18" i="22"/>
  <c r="Z11" i="16"/>
  <c r="AA14" i="16"/>
  <c r="Z58" i="16"/>
  <c r="Z59" i="16"/>
  <c r="Z61" i="19"/>
  <c r="Z62" i="19"/>
  <c r="AA14" i="19"/>
  <c r="Z11" i="19"/>
  <c r="AC10" i="23" l="1"/>
  <c r="AD59" i="23"/>
  <c r="AD57" i="23"/>
  <c r="AD56" i="23"/>
  <c r="AD55" i="23"/>
  <c r="AD54" i="23"/>
  <c r="AD53" i="23"/>
  <c r="AD52" i="23"/>
  <c r="AD51" i="23"/>
  <c r="AD50" i="23"/>
  <c r="AD49" i="23"/>
  <c r="AD48" i="23"/>
  <c r="AD47" i="23"/>
  <c r="AD46" i="23"/>
  <c r="AD45" i="23"/>
  <c r="AD44" i="23"/>
  <c r="AD43" i="23"/>
  <c r="AD42" i="23"/>
  <c r="AD41" i="23"/>
  <c r="AD40" i="23"/>
  <c r="AD39" i="23"/>
  <c r="AD38" i="23"/>
  <c r="AD37" i="23"/>
  <c r="AD36" i="23"/>
  <c r="AD34" i="23"/>
  <c r="AD32" i="23"/>
  <c r="AD29" i="23"/>
  <c r="AD27" i="23"/>
  <c r="AD25" i="23"/>
  <c r="AD23" i="23"/>
  <c r="AD20" i="23"/>
  <c r="AD18" i="23"/>
  <c r="AD10" i="23" s="1"/>
  <c r="AD30" i="23"/>
  <c r="AD26" i="23"/>
  <c r="AD22" i="23"/>
  <c r="AD11" i="23"/>
  <c r="AD58" i="23"/>
  <c r="AD35" i="23"/>
  <c r="AD33" i="23"/>
  <c r="AD28" i="23"/>
  <c r="AD24" i="23"/>
  <c r="AD19" i="23"/>
  <c r="AD10" i="22"/>
  <c r="D11" i="22" s="1"/>
  <c r="AA58" i="16"/>
  <c r="AA11" i="16"/>
  <c r="AB14" i="16"/>
  <c r="AA59" i="16"/>
  <c r="AA62" i="19"/>
  <c r="AA11" i="19"/>
  <c r="AA61" i="19"/>
  <c r="AB14" i="19"/>
  <c r="D11" i="23" l="1"/>
  <c r="D13" i="23" s="1"/>
  <c r="F13" i="22"/>
  <c r="D13" i="22"/>
  <c r="AB58" i="16"/>
  <c r="AB11" i="16"/>
  <c r="AB59" i="16"/>
  <c r="AC14" i="16"/>
  <c r="AB11" i="19"/>
  <c r="AB62" i="19"/>
  <c r="AC14" i="19"/>
  <c r="AB61" i="19"/>
  <c r="F13" i="23" l="1"/>
  <c r="O12" i="23" s="1"/>
  <c r="AA12" i="23"/>
  <c r="H12" i="23"/>
  <c r="Y12" i="23"/>
  <c r="AB12" i="23"/>
  <c r="R12" i="23"/>
  <c r="W12" i="23"/>
  <c r="U12" i="23"/>
  <c r="N12" i="23"/>
  <c r="P12" i="23"/>
  <c r="M12" i="23"/>
  <c r="AC12" i="23"/>
  <c r="V12" i="23"/>
  <c r="K12" i="23"/>
  <c r="T12" i="23"/>
  <c r="X12" i="23"/>
  <c r="Q12" i="23"/>
  <c r="L12" i="23"/>
  <c r="Z12" i="23"/>
  <c r="AC12" i="22"/>
  <c r="R12" i="22"/>
  <c r="F12" i="22"/>
  <c r="Z12" i="22"/>
  <c r="W12" i="22"/>
  <c r="P12" i="22"/>
  <c r="J12" i="22"/>
  <c r="G12" i="22"/>
  <c r="AA12" i="22"/>
  <c r="AB12" i="22"/>
  <c r="K12" i="22"/>
  <c r="V12" i="22"/>
  <c r="O12" i="22"/>
  <c r="L12" i="22"/>
  <c r="Q12" i="22"/>
  <c r="U12" i="22"/>
  <c r="T12" i="22"/>
  <c r="I12" i="22"/>
  <c r="Y12" i="22"/>
  <c r="N12" i="22"/>
  <c r="AD12" i="22"/>
  <c r="S12" i="22"/>
  <c r="H12" i="22"/>
  <c r="X12" i="22"/>
  <c r="M12" i="22"/>
  <c r="AC18" i="16"/>
  <c r="AC21" i="16"/>
  <c r="AC25" i="16"/>
  <c r="AC29" i="16"/>
  <c r="AC33" i="16"/>
  <c r="AC37" i="16"/>
  <c r="AC41" i="16"/>
  <c r="AC45" i="16"/>
  <c r="AC49" i="16"/>
  <c r="AC53" i="16"/>
  <c r="AC57" i="16"/>
  <c r="AC11" i="16"/>
  <c r="AC34" i="16"/>
  <c r="AC46" i="16"/>
  <c r="AC54" i="16"/>
  <c r="AC16" i="16"/>
  <c r="AC22" i="16"/>
  <c r="AC26" i="16"/>
  <c r="AC30" i="16"/>
  <c r="AC38" i="16"/>
  <c r="AC42" i="16"/>
  <c r="AC50" i="16"/>
  <c r="AC59" i="16"/>
  <c r="AC32" i="16"/>
  <c r="AC56" i="16"/>
  <c r="AC19" i="16"/>
  <c r="AC27" i="16"/>
  <c r="AC35" i="16"/>
  <c r="AC43" i="16"/>
  <c r="AC51" i="16"/>
  <c r="AD14" i="16"/>
  <c r="AC31" i="16"/>
  <c r="AC47" i="16"/>
  <c r="AC24" i="16"/>
  <c r="AC40" i="16"/>
  <c r="AC20" i="16"/>
  <c r="AC28" i="16"/>
  <c r="AC36" i="16"/>
  <c r="AC44" i="16"/>
  <c r="AC52" i="16"/>
  <c r="AC58" i="16"/>
  <c r="AC23" i="16"/>
  <c r="AC39" i="16"/>
  <c r="AC55" i="16"/>
  <c r="AC17" i="16"/>
  <c r="AC48" i="16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J12" i="23" l="1"/>
  <c r="AD12" i="23"/>
  <c r="F12" i="23"/>
  <c r="S12" i="23"/>
  <c r="G12" i="23"/>
  <c r="I12" i="23"/>
  <c r="AD17" i="16"/>
  <c r="AD22" i="16"/>
  <c r="AD38" i="16"/>
  <c r="AD54" i="16"/>
  <c r="AD33" i="16"/>
  <c r="AD49" i="16"/>
  <c r="AD24" i="16"/>
  <c r="AD40" i="16"/>
  <c r="AD56" i="16"/>
  <c r="AD31" i="16"/>
  <c r="AD47" i="16"/>
  <c r="AD58" i="16"/>
  <c r="AD26" i="16"/>
  <c r="AD21" i="16"/>
  <c r="AD53" i="16"/>
  <c r="AD19" i="16"/>
  <c r="AD51" i="16"/>
  <c r="AD42" i="16"/>
  <c r="AD37" i="16"/>
  <c r="AD28" i="16"/>
  <c r="AD44" i="16"/>
  <c r="AD35" i="16"/>
  <c r="AD45" i="16"/>
  <c r="AD27" i="16"/>
  <c r="AD30" i="16"/>
  <c r="AD25" i="16"/>
  <c r="AD57" i="16"/>
  <c r="AD48" i="16"/>
  <c r="AD39" i="16"/>
  <c r="AD18" i="16"/>
  <c r="AD41" i="16"/>
  <c r="AD23" i="16"/>
  <c r="AD55" i="16"/>
  <c r="AD50" i="16"/>
  <c r="AD16" i="16"/>
  <c r="AD34" i="16"/>
  <c r="AD29" i="16"/>
  <c r="AD20" i="16"/>
  <c r="AD52" i="16"/>
  <c r="AD43" i="16"/>
  <c r="AD46" i="16"/>
  <c r="AD32" i="16"/>
  <c r="AD11" i="16"/>
  <c r="AD36" i="16"/>
  <c r="AD59" i="16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AD10" i="19" l="1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D960CF64-90F1-4A5C-B4F2-3651E5E9FF49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506D03A0-7E4D-401E-A8FB-421A73967F13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<sst xmlns="http://schemas.openxmlformats.org/spreadsheetml/2006/main" count="360" uniqueCount="153">
  <si>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</si>
  <si>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</si>
  <si>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</si>
  <si>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</si>
  <si>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</si>
  <si>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</si>
  <si>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</si>
  <si>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</si>
  <si>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</si>
  <si>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</si>
  <si>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</si>
  <si>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</si>
  <si>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</si>
  <si>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</si>
  <si>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</si>
  <si>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</si>
  <si>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</si>
  <si>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</si>
  <si>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</si>
  <si>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</si>
  <si>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</si>
  <si>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</si>
  <si>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</si>
  <si>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</si>
  <si>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</si>
  <si>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</si>
  <si>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</si>
  <si>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</si>
  <si>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</si>
  <si>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</si>
  <si>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</si>
  <si>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</si>
  <si>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</si>
  <si>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</si>
  <si>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</si>
  <si>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</si>
  <si>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</si>
  <si>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</si>
  <si>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</si>
  <si>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</si>
  <si>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</si>
  <si>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</si>
  <si>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</si>
  <si>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</si>
  <si>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</si>
  <si>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</si>
  <si>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</si>
  <si>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</si>
  <si>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</si>
  <si>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</si>
  <si>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</si>
  <si>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</si>
  <si>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</si>
  <si>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</si>
  <si>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</si>
  <si>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</si>
  <si>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</si>
  <si>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</si>
  <si>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</si>
  <si>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</si>
  <si>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</si>
  <si>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</si>
  <si>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</si>
  <si>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</si>
  <si>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</si>
  <si>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</si>
  <si>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</si>
  <si>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</si>
  <si>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</si>
  <si>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</si>
  <si>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</si>
  <si>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</si>
  <si>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</si>
  <si>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</si>
  <si>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</si>
  <si>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</si>
  <si>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</si>
  <si>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</si>
  <si>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</si>
  <si>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</si>
  <si>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Ongoing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</si>
  <si>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</si>
  <si>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</si>
  <si>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</si>
  <si>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</si>
  <si>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</si>
  <si>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</si>
  <si>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</si>
  <si>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</si>
  <si>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</si>
  <si>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</si>
  <si>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</si>
  <si>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</si>
  <si>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</si>
  <si>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</si>
  <si>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</si>
  <si>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</si>
  <si>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</si>
  <si>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</si>
  <si>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</si>
  <si>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</si>
  <si>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</si>
  <si>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</si>
  <si>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</si>
  <si>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</si>
  <si>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</si>
  <si>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</si>
  <si>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</si>
  <si>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</si>
  <si>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</si>
  <si>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</si>
  <si>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</si>
  <si>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</si>
  <si>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</si>
  <si>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</si>
  <si>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</si>
  <si>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</si>
  <si>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</si>
  <si>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</si>
  <si>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</si>
  <si>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</si>
  <si>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</si>
  <si>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</si>
  <si>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</si>
  <si>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Diagrama de Base de datos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</si>
  <si>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</si>
  <si>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</si>
  <si>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</si>
  <si>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</si>
  <si>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</si>
  <si>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Nombre de tarea</t>
  </si>
  <si>
    <t>Id. HU</t>
  </si>
  <si>
    <t>Responsable</t>
  </si>
  <si>
    <t>Total</t>
  </si>
  <si>
    <t>Esfue.</t>
  </si>
  <si>
    <t>Días restantes para implementacion</t>
  </si>
  <si>
    <t>Días de implementación del Sprint</t>
  </si>
  <si>
    <t>Tendencia en base al ultimo</t>
  </si>
  <si>
    <t>Creacción de consultas SQL</t>
  </si>
  <si>
    <t>Creacción tablas de datos</t>
  </si>
  <si>
    <t>Mockup de visualización</t>
  </si>
  <si>
    <t>Comprobación de integridad de los datos</t>
  </si>
  <si>
    <t>Modificación Modulo JSP</t>
  </si>
  <si>
    <t>Testing de modulo</t>
  </si>
  <si>
    <t>Creaccion de diagrama de clases</t>
  </si>
  <si>
    <t>Creación de consultas SQL</t>
  </si>
  <si>
    <t>Añadir soporte Data Forms</t>
  </si>
  <si>
    <t>Añadir soporte Feature answer</t>
  </si>
  <si>
    <t>Handler GET</t>
  </si>
  <si>
    <t>Handler SET</t>
  </si>
  <si>
    <t>Handler REMOVE</t>
  </si>
  <si>
    <t>Creación de cliente para pruebas funcionales</t>
  </si>
  <si>
    <t>Creacción de algoritmo de firmado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</si>
</sst>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0" fontId="13" fillId="0" borderId="0" xfId="0" applyFont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0" borderId="0" xfId="0" applyFont="1" applyAlignment="1">
      <alignment vertical="top"/>
    </xf>
  </cellXfs>
  <cellStyles count="1">
    <cellStyle name="Normal" xfId="0" builtinId="0"/>
  </cellStyles>
  <dxfs count="3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3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3"/>
                <c:pt idx="0">
                  <c:v>55</c:v>
                </c:pt>
                <c:pt idx="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3"/>
                <c:pt idx="0">
                  <c:v>55</c:v>
                </c:pt>
                <c:pt idx="1">
                  <c:v>55</c:v>
                </c:pt>
                <c:pt idx="2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56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49</c:v>
                </c:pt>
                <c:pt idx="1">
                  <c:v>44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24</c:v>
                </c:pt>
                <c:pt idx="8">
                  <c:v>21</c:v>
                </c:pt>
                <c:pt idx="9">
                  <c:v>13</c:v>
                </c:pt>
                <c:pt idx="10">
                  <c:v>8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50.416666666666664</c:v>
                </c:pt>
                <c:pt idx="2">
                  <c:v>45.833333333333336</c:v>
                </c:pt>
                <c:pt idx="3">
                  <c:v>41.25</c:v>
                </c:pt>
                <c:pt idx="4">
                  <c:v>36.666666666666671</c:v>
                </c:pt>
                <c:pt idx="5">
                  <c:v>32.083333333333336</c:v>
                </c:pt>
                <c:pt idx="6">
                  <c:v>27.5</c:v>
                </c:pt>
                <c:pt idx="7">
                  <c:v>22.916666666666671</c:v>
                </c:pt>
                <c:pt idx="8">
                  <c:v>18.333333333333336</c:v>
                </c:pt>
                <c:pt idx="9">
                  <c:v>13.75</c:v>
                </c:pt>
                <c:pt idx="10">
                  <c:v>9.1666666666666714</c:v>
                </c:pt>
                <c:pt idx="11">
                  <c:v>4.5833333333333357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02-4C3B-B35A-4B289630CB1E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02-4C3B-B35A-4B289630C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72</c:v>
                </c:pt>
                <c:pt idx="1">
                  <c:v>68</c:v>
                </c:pt>
                <c:pt idx="2">
                  <c:v>63</c:v>
                </c:pt>
                <c:pt idx="3">
                  <c:v>60</c:v>
                </c:pt>
                <c:pt idx="4">
                  <c:v>55</c:v>
                </c:pt>
                <c:pt idx="5">
                  <c:v>47</c:v>
                </c:pt>
                <c:pt idx="6">
                  <c:v>0</c:v>
                </c:pt>
                <c:pt idx="7">
                  <c:v>42</c:v>
                </c:pt>
                <c:pt idx="8">
                  <c:v>37</c:v>
                </c:pt>
                <c:pt idx="9">
                  <c:v>31</c:v>
                </c:pt>
                <c:pt idx="10">
                  <c:v>25</c:v>
                </c:pt>
                <c:pt idx="11">
                  <c:v>17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96-45E1-91C2-33E43A66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74</c:v>
                </c:pt>
                <c:pt idx="1">
                  <c:v>68.714285714285708</c:v>
                </c:pt>
                <c:pt idx="2">
                  <c:v>63.428571428571431</c:v>
                </c:pt>
                <c:pt idx="3">
                  <c:v>58.142857142857139</c:v>
                </c:pt>
                <c:pt idx="4">
                  <c:v>52.857142857142861</c:v>
                </c:pt>
                <c:pt idx="5">
                  <c:v>47.571428571428569</c:v>
                </c:pt>
                <c:pt idx="6">
                  <c:v>42.285714285714285</c:v>
                </c:pt>
                <c:pt idx="7">
                  <c:v>37</c:v>
                </c:pt>
                <c:pt idx="8">
                  <c:v>31.714285714285715</c:v>
                </c:pt>
                <c:pt idx="9">
                  <c:v>26.428571428571431</c:v>
                </c:pt>
                <c:pt idx="10">
                  <c:v>21.142857142857146</c:v>
                </c:pt>
                <c:pt idx="11">
                  <c:v>15.857142857142861</c:v>
                </c:pt>
                <c:pt idx="12">
                  <c:v>10.571428571428569</c:v>
                </c:pt>
                <c:pt idx="13">
                  <c:v>5.2857142857142918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6-45E1-91C2-33E43A66C1A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6-45E1-91C2-33E43A66C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539750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AC09AAFA-FBC0-4566-8656-85CF98B22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EBD30546-D01A-43CD-B988-70A92EFCF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ECF2F6F5-02C7-4FF8-864B-E5E0A978D0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5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5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5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omments" Target="../comments6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H18" sqref="H18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288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55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116</v>
      </c>
      <c r="C15" s="47" t="s">
        <v>117</v>
      </c>
      <c r="D15" s="47" t="s">
        <v>118</v>
      </c>
      <c r="E15" s="47" t="s">
        <v>119</v>
      </c>
      <c r="F15" s="10" t="s">
        <v>120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115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115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89</v>
      </c>
      <c r="F18" s="4" t="s">
        <v>80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89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55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144</v>
      </c>
      <c r="F31" s="23"/>
      <c r="G31" s="52"/>
      <c r="H31" s="23"/>
    </row>
  </sheetData>
  <phoneticPr fontId="2" type="noConversion"/>
  <conditionalFormatting sqref="G4:H10 E31 E5:E10 A4:D10">
    <cfRule type="expression" dxfId="33" priority="1" stopIfTrue="1">
      <formula>$F4="Planned"</formula>
    </cfRule>
    <cfRule type="expression" dxfId="32" priority="2" stopIfTrue="1">
      <formula>$F4="Ongoing"</formula>
    </cfRule>
  </conditionalFormatting>
  <conditionalFormatting sqref="F4:F10 F16:F30">
    <cfRule type="expression" dxfId="31" priority="3" stopIfTrue="1">
      <formula>$F4="Planned"</formula>
    </cfRule>
    <cfRule type="expression" dxfId="30" priority="4" stopIfTrue="1">
      <formula>$F4="Ongoing"</formula>
    </cfRule>
    <cfRule type="cellIs" dxfId="29" priority="5" stopIfTrue="1" operator="equal">
      <formula>"Unplanned"</formula>
    </cfRule>
  </conditionalFormatting>
  <conditionalFormatting sqref="E4 G16:H30 A16:E30">
    <cfRule type="expression" dxfId="28" priority="6" stopIfTrue="1">
      <formula>OR($F4="Planned",$F4="Unplanned")</formula>
    </cfRule>
    <cfRule type="expression" dxfId="27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D10" sqref="D10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96</v>
      </c>
      <c r="B5" s="102" t="s">
        <v>104</v>
      </c>
      <c r="C5" s="34" t="s">
        <v>79</v>
      </c>
      <c r="D5" s="34">
        <v>55</v>
      </c>
      <c r="E5" s="34">
        <v>1</v>
      </c>
      <c r="F5" s="103" t="s">
        <v>111</v>
      </c>
    </row>
    <row r="6" spans="1:7" x14ac:dyDescent="0.25">
      <c r="A6" s="34" t="s">
        <v>97</v>
      </c>
      <c r="B6" s="102" t="s">
        <v>105</v>
      </c>
      <c r="C6" s="34" t="s">
        <v>19</v>
      </c>
      <c r="D6" s="34">
        <v>55</v>
      </c>
      <c r="F6" s="103" t="s">
        <v>112</v>
      </c>
    </row>
    <row r="7" spans="1:7" x14ac:dyDescent="0.25">
      <c r="A7" s="34" t="s">
        <v>98</v>
      </c>
      <c r="B7" s="102" t="s">
        <v>106</v>
      </c>
      <c r="C7" s="107" t="s">
        <v>79</v>
      </c>
      <c r="D7" s="34">
        <v>55</v>
      </c>
      <c r="E7" s="34">
        <v>2</v>
      </c>
      <c r="F7" s="103" t="s">
        <v>111</v>
      </c>
    </row>
    <row r="8" spans="1:7" x14ac:dyDescent="0.25">
      <c r="A8" s="34" t="s">
        <v>99</v>
      </c>
      <c r="B8" s="102" t="s">
        <v>107</v>
      </c>
      <c r="C8" s="34" t="s">
        <v>19</v>
      </c>
      <c r="D8" s="34">
        <v>55</v>
      </c>
      <c r="F8" s="103" t="s">
        <v>113</v>
      </c>
    </row>
    <row r="9" spans="1:7" x14ac:dyDescent="0.25">
      <c r="A9" s="34" t="s">
        <v>100</v>
      </c>
      <c r="B9" s="102" t="s">
        <v>114</v>
      </c>
      <c r="C9" s="34" t="s">
        <v>19</v>
      </c>
      <c r="D9" s="34">
        <v>34</v>
      </c>
      <c r="F9" s="103" t="s">
        <v>113</v>
      </c>
    </row>
    <row r="10" spans="1:7" ht="26.25" customHeight="1" x14ac:dyDescent="0.25">
      <c r="A10" s="34" t="s">
        <v>101</v>
      </c>
      <c r="B10" s="102" t="s">
        <v>108</v>
      </c>
      <c r="C10" s="34" t="s">
        <v>19</v>
      </c>
      <c r="D10" s="34">
        <v>89</v>
      </c>
      <c r="E10" s="34">
        <v>3</v>
      </c>
      <c r="F10" s="103" t="s">
        <v>111</v>
      </c>
    </row>
    <row r="11" spans="1:7" ht="26.25" customHeight="1" x14ac:dyDescent="0.25">
      <c r="A11" s="34" t="s">
        <v>102</v>
      </c>
      <c r="B11" s="102" t="s">
        <v>109</v>
      </c>
      <c r="C11" s="34" t="s">
        <v>19</v>
      </c>
      <c r="D11" s="34">
        <v>89</v>
      </c>
      <c r="E11" s="34">
        <v>4</v>
      </c>
      <c r="F11" s="103" t="s">
        <v>111</v>
      </c>
    </row>
    <row r="12" spans="1:7" x14ac:dyDescent="0.25">
      <c r="A12" s="34" t="s">
        <v>103</v>
      </c>
      <c r="B12" s="102" t="s">
        <v>110</v>
      </c>
      <c r="C12" s="34" t="s">
        <v>19</v>
      </c>
      <c r="D12" s="34">
        <v>55</v>
      </c>
      <c r="E12" s="34">
        <v>5</v>
      </c>
      <c r="F12" s="103" t="s">
        <v>111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6" priority="1" stopIfTrue="1">
      <formula>$C4="Done"</formula>
    </cfRule>
    <cfRule type="expression" dxfId="25" priority="2" stopIfTrue="1">
      <formula>$C4="Ongoing"</formula>
    </cfRule>
    <cfRule type="expression" dxfId="24" priority="3" stopIfTrue="1">
      <formula>$C4="Removed"</formula>
    </cfRule>
  </conditionalFormatting>
  <conditionalFormatting sqref="G53">
    <cfRule type="expression" dxfId="23" priority="4" stopIfTrue="1">
      <formula>#REF!="Done"</formula>
    </cfRule>
    <cfRule type="expression" dxfId="22" priority="5" stopIfTrue="1">
      <formula>#REF!="Ongoing"</formula>
    </cfRule>
    <cfRule type="expression" dxfId="21" priority="6" stopIfTrue="1">
      <formula>#REF!="Removed"</formula>
    </cfRule>
  </conditionalFormatting>
  <conditionalFormatting sqref="G42:G43">
    <cfRule type="expression" dxfId="20" priority="7" stopIfTrue="1">
      <formula>#REF!="Done"</formula>
    </cfRule>
    <cfRule type="expression" dxfId="19" priority="8" stopIfTrue="1">
      <formula>#REF!="Ongoing"</formula>
    </cfRule>
    <cfRule type="expression" dxfId="18" priority="9" stopIfTrue="1">
      <formula>#REF!="Removed"</formula>
    </cfRule>
  </conditionalFormatting>
  <conditionalFormatting sqref="G22">
    <cfRule type="expression" dxfId="17" priority="10" stopIfTrue="1">
      <formula>#REF!="Done"</formula>
    </cfRule>
    <cfRule type="expression" dxfId="16" priority="11" stopIfTrue="1">
      <formula>#REF!="Ongoing"</formula>
    </cfRule>
    <cfRule type="expression" dxfId="15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C30" sqref="C30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3</v>
      </c>
    </row>
    <row r="4" spans="1:26" x14ac:dyDescent="0.25">
      <c r="A4" s="104" t="s">
        <v>40</v>
      </c>
      <c r="D4">
        <v>1</v>
      </c>
      <c r="E4" t="s">
        <v>41</v>
      </c>
      <c r="F4" t="s">
        <v>58</v>
      </c>
      <c r="G4" s="55">
        <f>IF(COUNT(D28:D33)=0,1,COUNT(D28:D33)+1)</f>
        <v>3</v>
      </c>
    </row>
    <row r="5" spans="1:26" ht="13" x14ac:dyDescent="0.3">
      <c r="F5" t="s">
        <v>42</v>
      </c>
      <c r="G5" s="55">
        <f>IF(G4&gt;D4,G4-D4,0)</f>
        <v>2</v>
      </c>
      <c r="Z5" s="38" t="s">
        <v>81</v>
      </c>
    </row>
    <row r="6" spans="1:26" ht="13" x14ac:dyDescent="0.3">
      <c r="A6" s="1" t="s">
        <v>72</v>
      </c>
      <c r="F6" t="s">
        <v>43</v>
      </c>
      <c r="G6" s="55">
        <f>TrendSprintCount-TrendOffset</f>
        <v>1</v>
      </c>
      <c r="Z6" s="38" t="s">
        <v>82</v>
      </c>
    </row>
    <row r="7" spans="1:26" ht="13" x14ac:dyDescent="0.3">
      <c r="A7" t="s">
        <v>46</v>
      </c>
      <c r="D7">
        <v>60</v>
      </c>
      <c r="Z7" s="38" t="s">
        <v>85</v>
      </c>
    </row>
    <row r="8" spans="1:26" ht="13" x14ac:dyDescent="0.3">
      <c r="A8" s="108">
        <f>D$4</f>
        <v>1</v>
      </c>
      <c r="B8" s="108"/>
      <c r="D8" s="58">
        <f ca="1">IF(D28="","",AVERAGE(OFFSET(D27,TrendOffset,0,SprintsInTrend,1)))</f>
        <v>55</v>
      </c>
      <c r="Z8" s="38" t="s">
        <v>86</v>
      </c>
    </row>
    <row r="9" spans="1:26" ht="13" x14ac:dyDescent="0.3">
      <c r="A9" t="s">
        <v>59</v>
      </c>
      <c r="D9" s="58">
        <f ca="1">IF(D28="","",AVERAGE(OFFSET(D27,1,0,SprintCount,1)))</f>
        <v>55</v>
      </c>
      <c r="F9" t="s">
        <v>51</v>
      </c>
      <c r="G9" s="55">
        <f ca="1">IF(M28="",1,COUNT(M28:M92))</f>
        <v>1</v>
      </c>
      <c r="Z9" s="38" t="s">
        <v>87</v>
      </c>
    </row>
    <row r="10" spans="1:26" ht="13" x14ac:dyDescent="0.3">
      <c r="A10" t="s">
        <v>48</v>
      </c>
      <c r="D10" s="58">
        <f ca="1">IF(D28="","",AVERAGE(LastEight))</f>
        <v>55</v>
      </c>
      <c r="Z10" s="38" t="s">
        <v>83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55</v>
      </c>
      <c r="Z11" s="38" t="s">
        <v>84</v>
      </c>
    </row>
    <row r="12" spans="1:26" ht="13" x14ac:dyDescent="0.3">
      <c r="A12" t="s">
        <v>24</v>
      </c>
      <c r="D12" s="58" t="str">
        <f ca="1">IF(M29="","",M28-M29)</f>
        <v/>
      </c>
      <c r="Z12" s="38" t="s">
        <v>88</v>
      </c>
    </row>
    <row r="13" spans="1:26" ht="13" x14ac:dyDescent="0.3">
      <c r="F13" s="56" t="s">
        <v>52</v>
      </c>
      <c r="Z13" s="38" t="s">
        <v>89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0</v>
      </c>
    </row>
    <row r="18" spans="1:17" x14ac:dyDescent="0.25">
      <c r="A18" s="108">
        <f>D$4</f>
        <v>1</v>
      </c>
      <c r="B18" s="108"/>
      <c r="D18" s="59">
        <f ca="1">IF(D8="","",IF(LastRealized="",ROUNDUP(LastPlanned/D8,0)+SprintCount-1,ROUNDUP((LastPlanned-LastRealized)/D8+SprintCount,0)))</f>
        <v>9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9</v>
      </c>
      <c r="F19" t="s">
        <v>63</v>
      </c>
      <c r="G19">
        <f ca="1">LastPlanned</f>
        <v>377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9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9</v>
      </c>
    </row>
    <row r="22" spans="1:17" x14ac:dyDescent="0.25">
      <c r="A22" t="s">
        <v>24</v>
      </c>
      <c r="D22" s="59" t="str">
        <f ca="1">IF(COUNT(M28:M33)-1&gt;0,COUNT(M28:M33)-1,"")</f>
        <v/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9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9</v>
      </c>
    </row>
    <row r="26" spans="1:17" ht="12.75" customHeight="1" x14ac:dyDescent="0.3">
      <c r="F26" s="110" t="s">
        <v>24</v>
      </c>
      <c r="G26" s="110"/>
      <c r="H26" s="110"/>
      <c r="I26" s="110"/>
      <c r="J26" s="110"/>
      <c r="K26" s="110"/>
      <c r="L26" s="110"/>
      <c r="M26" s="110"/>
      <c r="N26" s="110"/>
      <c r="O26" s="110" t="s">
        <v>69</v>
      </c>
      <c r="P26" s="110"/>
      <c r="Q26" s="110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9" t="s">
        <v>38</v>
      </c>
      <c r="H27" s="109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377</v>
      </c>
      <c r="M28" s="55">
        <f ca="1">L28</f>
        <v>377</v>
      </c>
      <c r="N28" s="55">
        <f t="shared" ref="N28:N33" ca="1" si="4">OFFSET($I$27,TrendSprintCount,0,1,1)</f>
        <v>0</v>
      </c>
      <c r="O28" s="66">
        <f t="shared" ref="O28:O33" ca="1" si="5">D$9</f>
        <v>55</v>
      </c>
      <c r="P28" s="66">
        <f t="shared" ref="P28:P33" ca="1" si="6">D$10</f>
        <v>55</v>
      </c>
      <c r="Q28" s="66">
        <f t="shared" ref="Q28:Q33" ca="1" si="7">D$11</f>
        <v>55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377</v>
      </c>
      <c r="M29" s="55" t="str">
        <f ca="1">IF(L29=L28,"",L29)</f>
        <v/>
      </c>
      <c r="N29" s="55">
        <f t="shared" ca="1" si="4"/>
        <v>0</v>
      </c>
      <c r="O29" s="66">
        <f t="shared" ca="1" si="5"/>
        <v>55</v>
      </c>
      <c r="P29" s="66">
        <f t="shared" ca="1" si="6"/>
        <v>55</v>
      </c>
      <c r="Q29" s="66">
        <f t="shared" ca="1" si="7"/>
        <v>55</v>
      </c>
    </row>
    <row r="30" spans="1:17" x14ac:dyDescent="0.25">
      <c r="A30" s="57">
        <v>3</v>
      </c>
      <c r="B30" s="2">
        <f t="shared" si="8"/>
        <v>377</v>
      </c>
      <c r="C30" s="2"/>
      <c r="D30" s="2"/>
      <c r="E30" s="57">
        <f>IF(B30="","",IF(D29="",E29,B30+SUM(D$28:D29)))</f>
        <v>487</v>
      </c>
      <c r="F30" s="55">
        <f t="shared" si="9"/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377</v>
      </c>
      <c r="M30" s="55" t="str">
        <f t="shared" ref="M30:M33" ca="1" si="10">IF(L30=L29,"",L30)</f>
        <v/>
      </c>
      <c r="N30" s="55">
        <f t="shared" ca="1" si="4"/>
        <v>0</v>
      </c>
      <c r="O30" s="66">
        <f t="shared" ca="1" si="5"/>
        <v>55</v>
      </c>
      <c r="P30" s="66">
        <f t="shared" ca="1" si="6"/>
        <v>55</v>
      </c>
      <c r="Q30" s="66">
        <f t="shared" ca="1" si="7"/>
        <v>55</v>
      </c>
    </row>
    <row r="31" spans="1:17" x14ac:dyDescent="0.25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377</v>
      </c>
      <c r="M31" s="55" t="str">
        <f t="shared" ca="1" si="10"/>
        <v/>
      </c>
      <c r="N31" s="55">
        <f t="shared" ca="1" si="4"/>
        <v>0</v>
      </c>
      <c r="O31" s="66">
        <f t="shared" ca="1" si="5"/>
        <v>55</v>
      </c>
      <c r="P31" s="66">
        <f t="shared" ca="1" si="6"/>
        <v>55</v>
      </c>
      <c r="Q31" s="66">
        <f t="shared" ca="1" si="7"/>
        <v>55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377</v>
      </c>
      <c r="M32" s="55" t="str">
        <f t="shared" ca="1" si="10"/>
        <v/>
      </c>
      <c r="N32" s="55">
        <f t="shared" ca="1" si="4"/>
        <v>0</v>
      </c>
      <c r="O32" s="66">
        <f t="shared" ca="1" si="5"/>
        <v>55</v>
      </c>
      <c r="P32" s="66">
        <f t="shared" ca="1" si="6"/>
        <v>55</v>
      </c>
      <c r="Q32" s="66">
        <f t="shared" ca="1" si="7"/>
        <v>55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377</v>
      </c>
      <c r="M33" s="55" t="str">
        <f t="shared" ca="1" si="10"/>
        <v/>
      </c>
      <c r="N33" s="55">
        <f t="shared" ca="1" si="4"/>
        <v>0</v>
      </c>
      <c r="O33" s="66">
        <f t="shared" ca="1" si="5"/>
        <v>55</v>
      </c>
      <c r="P33" s="66">
        <f t="shared" ca="1" si="6"/>
        <v>55</v>
      </c>
      <c r="Q33" s="66">
        <f t="shared" ca="1" si="7"/>
        <v>55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4" priority="1" stopIfTrue="1">
      <formula>$D26="Done"</formula>
    </cfRule>
    <cfRule type="expression" dxfId="13" priority="2" stopIfTrue="1">
      <formula>$D26="Ongoing"</formula>
    </cfRule>
    <cfRule type="expression" dxfId="12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showGridLines="0" showRowColHeaders="0" zoomScaleNormal="100" workbookViewId="0">
      <pane ySplit="14" topLeftCell="A15" activePane="bottomLeft" state="frozen"/>
      <selection pane="bottomLeft" activeCell="N17" sqref="N17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136</v>
      </c>
      <c r="B9" s="70">
        <v>14</v>
      </c>
      <c r="C9" s="69"/>
      <c r="D9" s="71"/>
      <c r="E9" s="69" t="s">
        <v>134</v>
      </c>
      <c r="F9" s="69" t="s">
        <v>135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137</v>
      </c>
      <c r="B10" s="70">
        <v>14</v>
      </c>
      <c r="C10" s="69" t="s">
        <v>117</v>
      </c>
      <c r="D10" s="69" t="s">
        <v>133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56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130</v>
      </c>
      <c r="B14" s="73" t="s">
        <v>131</v>
      </c>
      <c r="C14" s="69" t="s">
        <v>132</v>
      </c>
      <c r="D14" s="69" t="s">
        <v>120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122</v>
      </c>
      <c r="B15" s="105" t="s">
        <v>96</v>
      </c>
      <c r="C15" s="104" t="s">
        <v>121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123</v>
      </c>
      <c r="B16" s="2" t="s">
        <v>96</v>
      </c>
      <c r="C16" s="104" t="s">
        <v>121</v>
      </c>
      <c r="D16" t="s">
        <v>79</v>
      </c>
      <c r="E16" s="2">
        <v>10</v>
      </c>
      <c r="F16" s="2">
        <v>9</v>
      </c>
      <c r="G16" s="2">
        <v>10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124</v>
      </c>
      <c r="B17" s="2" t="s">
        <v>96</v>
      </c>
      <c r="C17" s="104" t="s">
        <v>121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125</v>
      </c>
      <c r="B18" s="105" t="s">
        <v>96</v>
      </c>
      <c r="C18" s="104" t="s">
        <v>121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126</v>
      </c>
      <c r="B19" s="105" t="s">
        <v>96</v>
      </c>
      <c r="C19" s="104" t="s">
        <v>121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127</v>
      </c>
      <c r="B20" s="105" t="s">
        <v>96</v>
      </c>
      <c r="C20" s="104" t="s">
        <v>121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129</v>
      </c>
      <c r="B21" s="105" t="s">
        <v>96</v>
      </c>
      <c r="C21" s="104" t="s">
        <v>121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128</v>
      </c>
      <c r="B22" s="105" t="s">
        <v>96</v>
      </c>
      <c r="C22" s="104" t="s">
        <v>121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11" priority="1" stopIfTrue="1">
      <formula>$D15="Done"</formula>
    </cfRule>
    <cfRule type="expression" dxfId="10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F99C7-B77D-437F-92BA-5F60B5689DE2}">
  <sheetPr codeName="Sheet7"/>
  <dimension ref="A1:AD83"/>
  <sheetViews>
    <sheetView showGridLines="0" showRowColHeaders="0" zoomScaleNormal="100" workbookViewId="0">
      <pane ySplit="14" topLeftCell="A15" activePane="bottomLeft" state="frozen"/>
      <selection pane="bottomLeft" activeCell="C25" sqref="C25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2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136</v>
      </c>
      <c r="B9" s="70">
        <v>12</v>
      </c>
      <c r="C9" s="69"/>
      <c r="D9" s="71"/>
      <c r="E9" s="69" t="s">
        <v>134</v>
      </c>
      <c r="F9" s="69" t="s">
        <v>135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137</v>
      </c>
      <c r="B10" s="70">
        <v>12</v>
      </c>
      <c r="C10" s="69" t="s">
        <v>117</v>
      </c>
      <c r="D10" s="69" t="s">
        <v>133</v>
      </c>
      <c r="E10" s="72">
        <f ca="1">SUM(OFFSET(E14,1,0,TaskRows,1))</f>
        <v>55</v>
      </c>
      <c r="F10" s="72">
        <f ca="1">IF(AND(SUM(OFFSET(F14,1,0,TaskRows,1))=0),0,SUM(OFFSET(F14,1,0,TaskRows,1)))</f>
        <v>49</v>
      </c>
      <c r="G10" s="72">
        <f t="shared" ref="G10:AD10" ca="1" si="0">IF(AND(SUM(OFFSET(G14,1,0,TaskRows,1))=0),"",SUM(OFFSET(G14,1,0,TaskRows,1)))</f>
        <v>44</v>
      </c>
      <c r="H10" s="72">
        <f t="shared" ca="1" si="0"/>
        <v>39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24</v>
      </c>
      <c r="N10" s="72">
        <f t="shared" ca="1" si="0"/>
        <v>21</v>
      </c>
      <c r="O10" s="72">
        <f t="shared" ca="1" si="0"/>
        <v>13</v>
      </c>
      <c r="P10" s="72">
        <f t="shared" ca="1" si="0"/>
        <v>8</v>
      </c>
      <c r="Q10" s="72">
        <f t="shared" ca="1" si="0"/>
        <v>2</v>
      </c>
      <c r="R10" s="72" t="str">
        <f t="shared" ca="1" si="0"/>
        <v/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6</v>
      </c>
      <c r="C11" t="s">
        <v>23</v>
      </c>
      <c r="D11" s="2">
        <f ca="1">IF(COUNTIF(F10:AD10,"&gt;0")=0,1,COUNTIF(F10:AD10,"&gt;0"))</f>
        <v>10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50.416666666666664</v>
      </c>
      <c r="H11" s="2">
        <f t="shared" ca="1" si="1"/>
        <v>45.833333333333336</v>
      </c>
      <c r="I11" s="2">
        <f t="shared" ca="1" si="1"/>
        <v>41.25</v>
      </c>
      <c r="J11" s="2">
        <f t="shared" ca="1" si="1"/>
        <v>36.666666666666671</v>
      </c>
      <c r="K11" s="2">
        <f t="shared" ca="1" si="1"/>
        <v>32.083333333333336</v>
      </c>
      <c r="L11" s="2">
        <f t="shared" ca="1" si="1"/>
        <v>27.5</v>
      </c>
      <c r="M11" s="2">
        <f t="shared" ca="1" si="1"/>
        <v>22.916666666666671</v>
      </c>
      <c r="N11" s="2">
        <f t="shared" ca="1" si="1"/>
        <v>18.333333333333336</v>
      </c>
      <c r="O11" s="2">
        <f t="shared" ca="1" si="1"/>
        <v>13.75</v>
      </c>
      <c r="P11" s="2">
        <f t="shared" ca="1" si="1"/>
        <v>9.1666666666666714</v>
      </c>
      <c r="Q11" s="2">
        <f t="shared" ca="1" si="1"/>
        <v>4.5833333333333357</v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10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130</v>
      </c>
      <c r="B14" s="73" t="s">
        <v>131</v>
      </c>
      <c r="C14" s="69" t="s">
        <v>132</v>
      </c>
      <c r="D14" s="69" t="s">
        <v>120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 t="str">
        <f t="shared" si="3"/>
        <v/>
      </c>
      <c r="S14" s="73" t="str">
        <f t="shared" si="3"/>
        <v/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140</v>
      </c>
      <c r="B15" s="105" t="s">
        <v>97</v>
      </c>
      <c r="C15" s="104" t="s">
        <v>121</v>
      </c>
      <c r="D15" t="s">
        <v>79</v>
      </c>
      <c r="E15" s="2">
        <v>7</v>
      </c>
      <c r="F15" s="2">
        <v>6</v>
      </c>
      <c r="G15" s="2">
        <v>5</v>
      </c>
      <c r="H15" s="2">
        <v>4</v>
      </c>
      <c r="I15" s="2">
        <v>3</v>
      </c>
      <c r="J15" s="34">
        <v>2</v>
      </c>
      <c r="K15" s="106"/>
      <c r="L15" s="106"/>
      <c r="M15" s="34">
        <v>1</v>
      </c>
      <c r="N15" s="34">
        <v>0</v>
      </c>
    </row>
    <row r="16" spans="1:30" x14ac:dyDescent="0.25">
      <c r="A16" s="104" t="s">
        <v>138</v>
      </c>
      <c r="B16" s="105" t="s">
        <v>97</v>
      </c>
      <c r="C16" s="104" t="s">
        <v>121</v>
      </c>
      <c r="D16" t="s">
        <v>79</v>
      </c>
      <c r="E16" s="2">
        <v>12</v>
      </c>
      <c r="F16" s="2">
        <v>11</v>
      </c>
      <c r="G16" s="2">
        <v>10</v>
      </c>
      <c r="H16" s="2">
        <v>9</v>
      </c>
      <c r="I16" s="2">
        <v>7</v>
      </c>
      <c r="J16" s="34">
        <v>4</v>
      </c>
      <c r="K16" s="106"/>
      <c r="L16" s="106"/>
      <c r="M16" s="34">
        <v>0</v>
      </c>
    </row>
    <row r="17" spans="1:30" x14ac:dyDescent="0.25">
      <c r="A17" s="104" t="s">
        <v>139</v>
      </c>
      <c r="B17" s="105" t="s">
        <v>97</v>
      </c>
      <c r="C17" s="104" t="s">
        <v>121</v>
      </c>
      <c r="D17" t="s">
        <v>79</v>
      </c>
      <c r="E17" s="2">
        <v>7</v>
      </c>
      <c r="F17" s="2">
        <v>6</v>
      </c>
      <c r="G17" s="2">
        <v>5</v>
      </c>
      <c r="H17" s="2">
        <v>4</v>
      </c>
      <c r="I17" s="2">
        <v>3</v>
      </c>
      <c r="J17" s="34">
        <v>2</v>
      </c>
      <c r="K17" s="106"/>
      <c r="L17" s="106"/>
      <c r="M17" s="34">
        <v>2</v>
      </c>
      <c r="N17" s="34">
        <v>2</v>
      </c>
      <c r="O17" s="34">
        <v>1</v>
      </c>
    </row>
    <row r="18" spans="1:30" x14ac:dyDescent="0.25">
      <c r="A18" s="102" t="s">
        <v>142</v>
      </c>
      <c r="B18" s="105" t="s">
        <v>97</v>
      </c>
      <c r="C18" s="104" t="s">
        <v>121</v>
      </c>
      <c r="D18" t="s">
        <v>79</v>
      </c>
      <c r="E18" s="34">
        <v>9</v>
      </c>
      <c r="F18" s="34">
        <v>7</v>
      </c>
      <c r="G18" s="34">
        <v>6</v>
      </c>
      <c r="H18" s="34">
        <v>5</v>
      </c>
      <c r="I18" s="34">
        <v>5</v>
      </c>
      <c r="J18" s="34">
        <v>5</v>
      </c>
      <c r="K18" s="106"/>
      <c r="L18" s="106"/>
      <c r="M18" s="34">
        <v>4</v>
      </c>
      <c r="N18" s="34">
        <v>4</v>
      </c>
      <c r="O18" s="34">
        <v>4</v>
      </c>
      <c r="P18" s="34">
        <v>2</v>
      </c>
      <c r="Q18" s="34">
        <v>0</v>
      </c>
      <c r="AC18" s="34" t="str">
        <f t="shared" ref="AC18:AD30" si="4">IF(OR(AC$14="",$E18=""),"",AB18)</f>
        <v/>
      </c>
      <c r="AD18" s="34" t="str">
        <f t="shared" si="4"/>
        <v/>
      </c>
    </row>
    <row r="19" spans="1:30" x14ac:dyDescent="0.25">
      <c r="A19" s="102" t="s">
        <v>141</v>
      </c>
      <c r="B19" s="105" t="s">
        <v>97</v>
      </c>
      <c r="C19" s="104" t="s">
        <v>121</v>
      </c>
      <c r="D19" t="s">
        <v>79</v>
      </c>
      <c r="E19" s="34">
        <v>10</v>
      </c>
      <c r="F19" s="34">
        <v>9</v>
      </c>
      <c r="G19" s="34">
        <v>8</v>
      </c>
      <c r="H19" s="34">
        <v>7</v>
      </c>
      <c r="I19" s="34">
        <v>7</v>
      </c>
      <c r="J19" s="34">
        <v>7</v>
      </c>
      <c r="K19" s="106"/>
      <c r="L19" s="106"/>
      <c r="M19" s="34">
        <v>7</v>
      </c>
      <c r="N19" s="34">
        <v>5</v>
      </c>
      <c r="O19" s="34">
        <v>4</v>
      </c>
      <c r="P19" s="34">
        <v>2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143</v>
      </c>
      <c r="B20" s="105" t="s">
        <v>97</v>
      </c>
      <c r="C20" s="104" t="s">
        <v>121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M20" s="34">
        <v>10</v>
      </c>
      <c r="N20" s="34">
        <v>10</v>
      </c>
      <c r="O20" s="34">
        <v>4</v>
      </c>
      <c r="P20" s="34">
        <v>4</v>
      </c>
      <c r="Q20" s="34">
        <v>2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/>
      <c r="C21"/>
    </row>
    <row r="22" spans="1:30" x14ac:dyDescent="0.25">
      <c r="A22" s="32"/>
      <c r="C22"/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</row>
    <row r="32" spans="1:30" x14ac:dyDescent="0.25">
      <c r="A32" s="32"/>
      <c r="C32"/>
      <c r="AC32" s="34" t="str">
        <f t="shared" ref="AC32:AD47" si="5">IF(OR(AC$14="",$E32=""),"",AB32)</f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AC34" s="34" t="str">
        <f t="shared" si="5"/>
        <v/>
      </c>
      <c r="AD34" s="34" t="str">
        <f t="shared" si="5"/>
        <v/>
      </c>
    </row>
    <row r="35" spans="1:30" x14ac:dyDescent="0.25">
      <c r="A35" s="32"/>
      <c r="C35"/>
      <c r="AC35" s="34" t="str">
        <f t="shared" si="5"/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D37" s="35" t="str">
        <f t="shared" ref="D37:D60" si="6">IF(A37&lt;&gt;"","Planned","")</f>
        <v/>
      </c>
      <c r="F37" s="34" t="str">
        <f t="shared" ref="F37:U59" si="7">IF(OR(F$14="",$E37=""),"",E37)</f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5"/>
        <v/>
      </c>
      <c r="AD47" s="34" t="str">
        <f t="shared" si="5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ref="AC48:AD59" si="8">IF(OR(AC$14="",$E48=""),"",AB48)</f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G58" s="34" t="str">
        <f t="shared" si="7"/>
        <v/>
      </c>
      <c r="H58" s="34" t="str">
        <f t="shared" si="7"/>
        <v/>
      </c>
      <c r="I58" s="34" t="str">
        <f t="shared" si="7"/>
        <v/>
      </c>
      <c r="J58" s="34" t="str">
        <f t="shared" si="7"/>
        <v/>
      </c>
      <c r="K58" s="34" t="str">
        <f t="shared" si="7"/>
        <v/>
      </c>
      <c r="L58" s="34" t="str">
        <f t="shared" si="7"/>
        <v/>
      </c>
      <c r="M58" s="34" t="str">
        <f t="shared" si="7"/>
        <v/>
      </c>
      <c r="N58" s="34" t="str">
        <f t="shared" si="7"/>
        <v/>
      </c>
      <c r="O58" s="34" t="str">
        <f t="shared" si="7"/>
        <v/>
      </c>
      <c r="P58" s="34" t="str">
        <f t="shared" si="7"/>
        <v/>
      </c>
      <c r="Q58" s="34" t="str">
        <f t="shared" si="7"/>
        <v/>
      </c>
      <c r="R58" s="34" t="str">
        <f t="shared" si="7"/>
        <v/>
      </c>
      <c r="S58" s="34" t="str">
        <f t="shared" si="7"/>
        <v/>
      </c>
      <c r="T58" s="34" t="str">
        <f t="shared" si="7"/>
        <v/>
      </c>
      <c r="U58" s="34" t="str">
        <f t="shared" si="7"/>
        <v/>
      </c>
      <c r="V58" s="34" t="str">
        <f t="shared" ref="V58:AB59" si="9">IF(OR(V$14="",$E58=""),"",U58)</f>
        <v/>
      </c>
      <c r="W58" s="34" t="str">
        <f t="shared" si="9"/>
        <v/>
      </c>
      <c r="X58" s="34" t="str">
        <f t="shared" si="9"/>
        <v/>
      </c>
      <c r="Y58" s="34" t="str">
        <f t="shared" si="9"/>
        <v/>
      </c>
      <c r="Z58" s="34" t="str">
        <f t="shared" si="9"/>
        <v/>
      </c>
      <c r="AA58" s="34" t="str">
        <f t="shared" si="9"/>
        <v/>
      </c>
      <c r="AB58" s="34" t="str">
        <f t="shared" si="9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G59" s="34" t="str">
        <f t="shared" si="7"/>
        <v/>
      </c>
      <c r="H59" s="34" t="str">
        <f t="shared" si="7"/>
        <v/>
      </c>
      <c r="I59" s="34" t="str">
        <f t="shared" si="7"/>
        <v/>
      </c>
      <c r="J59" s="34" t="str">
        <f t="shared" si="7"/>
        <v/>
      </c>
      <c r="K59" s="34" t="str">
        <f t="shared" si="7"/>
        <v/>
      </c>
      <c r="L59" s="34" t="str">
        <f t="shared" si="7"/>
        <v/>
      </c>
      <c r="M59" s="34" t="str">
        <f t="shared" si="7"/>
        <v/>
      </c>
      <c r="N59" s="34" t="str">
        <f t="shared" si="7"/>
        <v/>
      </c>
      <c r="O59" s="34" t="str">
        <f t="shared" si="7"/>
        <v/>
      </c>
      <c r="P59" s="34" t="str">
        <f t="shared" si="7"/>
        <v/>
      </c>
      <c r="Q59" s="34" t="str">
        <f t="shared" si="7"/>
        <v/>
      </c>
      <c r="R59" s="34" t="str">
        <f t="shared" si="7"/>
        <v/>
      </c>
      <c r="S59" s="34" t="str">
        <f t="shared" si="7"/>
        <v/>
      </c>
      <c r="T59" s="34" t="str">
        <f t="shared" si="7"/>
        <v/>
      </c>
      <c r="U59" s="34" t="str">
        <f t="shared" si="7"/>
        <v/>
      </c>
      <c r="V59" s="34" t="str">
        <f t="shared" si="9"/>
        <v/>
      </c>
      <c r="W59" s="34" t="str">
        <f t="shared" si="9"/>
        <v/>
      </c>
      <c r="X59" s="34" t="str">
        <f t="shared" si="9"/>
        <v/>
      </c>
      <c r="Y59" s="34" t="str">
        <f t="shared" si="9"/>
        <v/>
      </c>
      <c r="Z59" s="34" t="str">
        <f t="shared" si="9"/>
        <v/>
      </c>
      <c r="AA59" s="34" t="str">
        <f t="shared" si="9"/>
        <v/>
      </c>
      <c r="AB59" s="34" t="str">
        <f t="shared" si="9"/>
        <v/>
      </c>
      <c r="AC59" s="34" t="str">
        <f t="shared" si="8"/>
        <v/>
      </c>
      <c r="AD59" s="34" t="str">
        <f t="shared" si="8"/>
        <v/>
      </c>
    </row>
    <row r="60" spans="3:30" x14ac:dyDescent="0.25">
      <c r="C60"/>
      <c r="D60" s="35" t="str">
        <f t="shared" si="6"/>
        <v/>
      </c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conditionalFormatting sqref="A15:AD54">
    <cfRule type="expression" dxfId="9" priority="1" stopIfTrue="1">
      <formula>$D15="Done"</formula>
    </cfRule>
    <cfRule type="expression" dxfId="8" priority="2" stopIfTrue="1">
      <formula>$D15="Ongoing"</formula>
    </cfRule>
  </conditionalFormatting>
  <dataValidations count="1">
    <dataValidation type="list" allowBlank="1" showInputMessage="1" sqref="D3:D8 D15:D60" xr:uid="{340B9028-3118-43B0-B9E5-544DB130C86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BEA46-5F2B-49BB-BA08-828C9FCE13D4}">
  <sheetPr codeName="Sheet8"/>
  <dimension ref="A1:AD83"/>
  <sheetViews>
    <sheetView showGridLines="0" showRowColHeaders="0" tabSelected="1" zoomScaleNormal="100" workbookViewId="0">
      <pane ySplit="14" topLeftCell="A15" activePane="bottomLeft" state="frozen"/>
      <selection pane="bottomLeft" activeCell="O23" sqref="O23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2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136</v>
      </c>
      <c r="B9" s="70">
        <v>14</v>
      </c>
      <c r="C9" s="69"/>
      <c r="D9" s="71"/>
      <c r="E9" s="69" t="s">
        <v>134</v>
      </c>
      <c r="F9" s="69" t="s">
        <v>135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137</v>
      </c>
      <c r="B10" s="70">
        <v>12</v>
      </c>
      <c r="C10" s="69" t="s">
        <v>117</v>
      </c>
      <c r="D10" s="69" t="s">
        <v>133</v>
      </c>
      <c r="E10" s="72">
        <f ca="1">SUM(OFFSET(E14,1,0,TaskRows,1))</f>
        <v>74</v>
      </c>
      <c r="F10" s="72">
        <f ca="1">IF(AND(SUM(OFFSET(F14,1,0,TaskRows,1))=0),0,SUM(OFFSET(F14,1,0,TaskRows,1)))</f>
        <v>72</v>
      </c>
      <c r="G10" s="72">
        <f t="shared" ref="G10:AD10" ca="1" si="0">IF(AND(SUM(OFFSET(G14,1,0,TaskRows,1))=0),"",SUM(OFFSET(G14,1,0,TaskRows,1)))</f>
        <v>68</v>
      </c>
      <c r="H10" s="72">
        <f t="shared" ca="1" si="0"/>
        <v>63</v>
      </c>
      <c r="I10" s="72">
        <f t="shared" ca="1" si="0"/>
        <v>60</v>
      </c>
      <c r="J10" s="72">
        <f t="shared" ca="1" si="0"/>
        <v>55</v>
      </c>
      <c r="K10" s="72">
        <f t="shared" ca="1" si="0"/>
        <v>47</v>
      </c>
      <c r="L10" s="72" t="str">
        <f t="shared" ca="1" si="0"/>
        <v/>
      </c>
      <c r="M10" s="72">
        <f t="shared" ca="1" si="0"/>
        <v>42</v>
      </c>
      <c r="N10" s="72">
        <f t="shared" ca="1" si="0"/>
        <v>37</v>
      </c>
      <c r="O10" s="72">
        <f t="shared" ca="1" si="0"/>
        <v>31</v>
      </c>
      <c r="P10" s="72">
        <f t="shared" ca="1" si="0"/>
        <v>25</v>
      </c>
      <c r="Q10" s="72">
        <f t="shared" ca="1" si="0"/>
        <v>17</v>
      </c>
      <c r="R10" s="72">
        <f t="shared" ca="1" si="0"/>
        <v>10</v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IF(COUNTA(A15:A238)=0,1,COUNTA(A15:A238))</f>
        <v>9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74</v>
      </c>
      <c r="G11" s="2">
        <f t="shared" ref="G11:AD11" ca="1" si="1">IF(G14="","",TotalEffort-TotalEffort/(ImplementationDays)*(G14-1))</f>
        <v>68.714285714285708</v>
      </c>
      <c r="H11" s="2">
        <f t="shared" ca="1" si="1"/>
        <v>63.428571428571431</v>
      </c>
      <c r="I11" s="2">
        <f t="shared" ca="1" si="1"/>
        <v>58.142857142857139</v>
      </c>
      <c r="J11" s="2">
        <f t="shared" ca="1" si="1"/>
        <v>52.857142857142861</v>
      </c>
      <c r="K11" s="2">
        <f t="shared" ca="1" si="1"/>
        <v>47.571428571428569</v>
      </c>
      <c r="L11" s="2">
        <f t="shared" ca="1" si="1"/>
        <v>42.285714285714285</v>
      </c>
      <c r="M11" s="2">
        <f t="shared" ca="1" si="1"/>
        <v>37</v>
      </c>
      <c r="N11" s="2">
        <f t="shared" ca="1" si="1"/>
        <v>31.714285714285715</v>
      </c>
      <c r="O11" s="2">
        <f t="shared" ca="1" si="1"/>
        <v>26.428571428571431</v>
      </c>
      <c r="P11" s="2">
        <f t="shared" ca="1" si="1"/>
        <v>21.142857142857146</v>
      </c>
      <c r="Q11" s="2">
        <f t="shared" ca="1" si="1"/>
        <v>15.857142857142861</v>
      </c>
      <c r="R11" s="2">
        <f t="shared" ca="1" si="1"/>
        <v>10.571428571428569</v>
      </c>
      <c r="S11" s="2">
        <f t="shared" ca="1" si="1"/>
        <v>5.2857142857142918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130</v>
      </c>
      <c r="B14" s="73" t="s">
        <v>131</v>
      </c>
      <c r="C14" s="69" t="s">
        <v>132</v>
      </c>
      <c r="D14" s="69" t="s">
        <v>120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144</v>
      </c>
      <c r="B15" s="105" t="s">
        <v>101</v>
      </c>
      <c r="C15" s="104" t="s">
        <v>121</v>
      </c>
      <c r="D15" t="s">
        <v>19</v>
      </c>
      <c r="E15" s="2">
        <v>6</v>
      </c>
      <c r="F15" s="2">
        <v>4</v>
      </c>
      <c r="G15" s="2">
        <v>0</v>
      </c>
      <c r="H15" s="2"/>
      <c r="I15" s="2"/>
      <c r="K15" s="106"/>
      <c r="M15" s="106"/>
    </row>
    <row r="16" spans="1:30" x14ac:dyDescent="0.25">
      <c r="A16" s="104" t="s">
        <v>145</v>
      </c>
      <c r="B16" s="105" t="s">
        <v>101</v>
      </c>
      <c r="C16" s="104" t="s">
        <v>121</v>
      </c>
      <c r="D16" t="s">
        <v>19</v>
      </c>
      <c r="E16" s="2">
        <v>5</v>
      </c>
      <c r="F16" s="2">
        <v>5</v>
      </c>
      <c r="G16" s="2">
        <v>5</v>
      </c>
      <c r="H16" s="2">
        <v>0</v>
      </c>
      <c r="I16" s="2"/>
      <c r="K16" s="106"/>
      <c r="M16" s="106"/>
    </row>
    <row r="17" spans="1:30" x14ac:dyDescent="0.25">
      <c r="A17" s="104" t="s">
        <v>146</v>
      </c>
      <c r="B17" s="105" t="s">
        <v>101</v>
      </c>
      <c r="C17" s="104" t="s">
        <v>121</v>
      </c>
      <c r="D17" t="s">
        <v>19</v>
      </c>
      <c r="E17" s="2">
        <v>12</v>
      </c>
      <c r="F17" s="2">
        <v>12</v>
      </c>
      <c r="G17" s="2">
        <v>12</v>
      </c>
      <c r="H17" s="2">
        <v>12</v>
      </c>
      <c r="I17" s="2">
        <v>9</v>
      </c>
      <c r="J17" s="2">
        <v>4</v>
      </c>
      <c r="K17" s="2">
        <v>0</v>
      </c>
      <c r="M17" s="2"/>
    </row>
    <row r="18" spans="1:30" x14ac:dyDescent="0.25">
      <c r="A18" s="102" t="s">
        <v>147</v>
      </c>
      <c r="B18" s="105" t="s">
        <v>101</v>
      </c>
      <c r="C18" s="104" t="s">
        <v>121</v>
      </c>
      <c r="D18" t="s">
        <v>19</v>
      </c>
      <c r="E18" s="34">
        <v>4</v>
      </c>
      <c r="F18" s="34">
        <v>4</v>
      </c>
      <c r="G18" s="34">
        <v>4</v>
      </c>
      <c r="H18" s="34">
        <v>4</v>
      </c>
      <c r="I18" s="34">
        <v>4</v>
      </c>
      <c r="J18" s="34">
        <v>4</v>
      </c>
      <c r="K18" s="34">
        <v>0</v>
      </c>
      <c r="AC18" s="34" t="str">
        <f t="shared" ref="AC18:AD30" si="4">IF(OR(AC$14="",$E18=""),"",AB18)</f>
        <v/>
      </c>
      <c r="AD18" s="34" t="str">
        <f t="shared" si="4"/>
        <v/>
      </c>
    </row>
    <row r="19" spans="1:30" x14ac:dyDescent="0.25">
      <c r="A19" s="102" t="s">
        <v>148</v>
      </c>
      <c r="B19" s="105" t="s">
        <v>101</v>
      </c>
      <c r="C19" s="104" t="s">
        <v>121</v>
      </c>
      <c r="D19" t="s">
        <v>19</v>
      </c>
      <c r="E19" s="34">
        <v>10</v>
      </c>
      <c r="F19" s="34">
        <v>10</v>
      </c>
      <c r="G19" s="34">
        <v>10</v>
      </c>
      <c r="H19" s="34">
        <v>10</v>
      </c>
      <c r="I19" s="34">
        <v>10</v>
      </c>
      <c r="J19" s="34">
        <v>10</v>
      </c>
      <c r="K19" s="34">
        <v>10</v>
      </c>
      <c r="M19" s="34">
        <v>5</v>
      </c>
      <c r="N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149</v>
      </c>
      <c r="B20" s="105" t="s">
        <v>101</v>
      </c>
      <c r="C20" s="104" t="s">
        <v>121</v>
      </c>
      <c r="D20" t="s">
        <v>19</v>
      </c>
      <c r="E20" s="34">
        <v>12</v>
      </c>
      <c r="F20" s="34">
        <v>12</v>
      </c>
      <c r="G20" s="34">
        <v>12</v>
      </c>
      <c r="H20" s="34">
        <v>12</v>
      </c>
      <c r="I20" s="34">
        <v>12</v>
      </c>
      <c r="J20" s="34">
        <v>12</v>
      </c>
      <c r="K20" s="34">
        <v>12</v>
      </c>
      <c r="M20" s="34">
        <v>12</v>
      </c>
      <c r="N20" s="34">
        <v>12</v>
      </c>
      <c r="O20" s="34">
        <v>6</v>
      </c>
      <c r="P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150</v>
      </c>
      <c r="B21" s="105" t="s">
        <v>101</v>
      </c>
      <c r="C21" s="104" t="s">
        <v>121</v>
      </c>
      <c r="D21" t="s">
        <v>19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34">
        <v>5</v>
      </c>
      <c r="M21" s="34">
        <v>5</v>
      </c>
      <c r="N21" s="34">
        <v>5</v>
      </c>
      <c r="O21" s="34">
        <v>5</v>
      </c>
      <c r="P21" s="34">
        <v>5</v>
      </c>
      <c r="Q21" s="34">
        <v>0</v>
      </c>
    </row>
    <row r="22" spans="1:30" x14ac:dyDescent="0.25">
      <c r="A22" s="111" t="s">
        <v>152</v>
      </c>
      <c r="B22" s="105" t="s">
        <v>101</v>
      </c>
      <c r="C22" s="104" t="s">
        <v>121</v>
      </c>
      <c r="D22" t="s">
        <v>19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34">
        <v>10</v>
      </c>
      <c r="M22" s="34">
        <v>10</v>
      </c>
      <c r="N22" s="34">
        <v>10</v>
      </c>
      <c r="O22" s="34">
        <v>10</v>
      </c>
      <c r="P22" s="34">
        <v>10</v>
      </c>
      <c r="Q22" s="34">
        <v>7</v>
      </c>
      <c r="R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 t="s">
        <v>151</v>
      </c>
      <c r="B23" s="105" t="s">
        <v>101</v>
      </c>
      <c r="C23" s="104" t="s">
        <v>121</v>
      </c>
      <c r="D23" t="s">
        <v>19</v>
      </c>
      <c r="E23" s="34">
        <v>10</v>
      </c>
      <c r="F23" s="34">
        <v>10</v>
      </c>
      <c r="G23" s="34">
        <v>10</v>
      </c>
      <c r="H23" s="34">
        <v>10</v>
      </c>
      <c r="I23" s="34">
        <v>10</v>
      </c>
      <c r="J23" s="34">
        <v>10</v>
      </c>
      <c r="K23" s="34">
        <v>10</v>
      </c>
      <c r="M23" s="34">
        <v>10</v>
      </c>
      <c r="N23" s="34">
        <v>10</v>
      </c>
      <c r="O23" s="34">
        <v>10</v>
      </c>
      <c r="P23" s="34">
        <v>10</v>
      </c>
      <c r="Q23" s="34">
        <v>10</v>
      </c>
      <c r="R23" s="34">
        <v>10</v>
      </c>
      <c r="S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</row>
    <row r="32" spans="1:30" x14ac:dyDescent="0.25">
      <c r="A32" s="32"/>
      <c r="C32"/>
      <c r="AC32" s="34" t="str">
        <f t="shared" ref="AC32:AD47" si="5">IF(OR(AC$14="",$E32=""),"",AB32)</f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AC34" s="34" t="str">
        <f t="shared" si="5"/>
        <v/>
      </c>
      <c r="AD34" s="34" t="str">
        <f t="shared" si="5"/>
        <v/>
      </c>
    </row>
    <row r="35" spans="1:30" x14ac:dyDescent="0.25">
      <c r="A35" s="32"/>
      <c r="C35"/>
      <c r="AC35" s="34" t="str">
        <f t="shared" si="5"/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D37" s="35" t="str">
        <f t="shared" ref="D37:D60" si="6">IF(A37&lt;&gt;"","Planned","")</f>
        <v/>
      </c>
      <c r="F37" s="34" t="str">
        <f t="shared" ref="F37:U59" si="7">IF(OR(F$14="",$E37=""),"",E37)</f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5"/>
        <v/>
      </c>
      <c r="AD45" s="34" t="str">
        <f t="shared" si="5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5"/>
        <v/>
      </c>
      <c r="AD46" s="34" t="str">
        <f t="shared" si="5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5"/>
        <v/>
      </c>
      <c r="AD47" s="34" t="str">
        <f t="shared" si="5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ref="AC48:AD59" si="8">IF(OR(AC$14="",$E48=""),"",AB48)</f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G58" s="34" t="str">
        <f t="shared" si="7"/>
        <v/>
      </c>
      <c r="H58" s="34" t="str">
        <f t="shared" si="7"/>
        <v/>
      </c>
      <c r="I58" s="34" t="str">
        <f t="shared" si="7"/>
        <v/>
      </c>
      <c r="J58" s="34" t="str">
        <f t="shared" si="7"/>
        <v/>
      </c>
      <c r="K58" s="34" t="str">
        <f t="shared" si="7"/>
        <v/>
      </c>
      <c r="L58" s="34" t="str">
        <f t="shared" si="7"/>
        <v/>
      </c>
      <c r="M58" s="34" t="str">
        <f t="shared" si="7"/>
        <v/>
      </c>
      <c r="N58" s="34" t="str">
        <f t="shared" si="7"/>
        <v/>
      </c>
      <c r="O58" s="34" t="str">
        <f t="shared" si="7"/>
        <v/>
      </c>
      <c r="P58" s="34" t="str">
        <f t="shared" si="7"/>
        <v/>
      </c>
      <c r="Q58" s="34" t="str">
        <f t="shared" si="7"/>
        <v/>
      </c>
      <c r="R58" s="34" t="str">
        <f t="shared" si="7"/>
        <v/>
      </c>
      <c r="S58" s="34" t="str">
        <f t="shared" si="7"/>
        <v/>
      </c>
      <c r="T58" s="34" t="str">
        <f t="shared" si="7"/>
        <v/>
      </c>
      <c r="U58" s="34" t="str">
        <f t="shared" si="7"/>
        <v/>
      </c>
      <c r="V58" s="34" t="str">
        <f t="shared" ref="V58:AB59" si="9">IF(OR(V$14="",$E58=""),"",U58)</f>
        <v/>
      </c>
      <c r="W58" s="34" t="str">
        <f t="shared" si="9"/>
        <v/>
      </c>
      <c r="X58" s="34" t="str">
        <f t="shared" si="9"/>
        <v/>
      </c>
      <c r="Y58" s="34" t="str">
        <f t="shared" si="9"/>
        <v/>
      </c>
      <c r="Z58" s="34" t="str">
        <f t="shared" si="9"/>
        <v/>
      </c>
      <c r="AA58" s="34" t="str">
        <f t="shared" si="9"/>
        <v/>
      </c>
      <c r="AB58" s="34" t="str">
        <f t="shared" si="9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G59" s="34" t="str">
        <f t="shared" si="7"/>
        <v/>
      </c>
      <c r="H59" s="34" t="str">
        <f t="shared" si="7"/>
        <v/>
      </c>
      <c r="I59" s="34" t="str">
        <f t="shared" si="7"/>
        <v/>
      </c>
      <c r="J59" s="34" t="str">
        <f t="shared" si="7"/>
        <v/>
      </c>
      <c r="K59" s="34" t="str">
        <f t="shared" si="7"/>
        <v/>
      </c>
      <c r="L59" s="34" t="str">
        <f t="shared" si="7"/>
        <v/>
      </c>
      <c r="M59" s="34" t="str">
        <f t="shared" si="7"/>
        <v/>
      </c>
      <c r="N59" s="34" t="str">
        <f t="shared" si="7"/>
        <v/>
      </c>
      <c r="O59" s="34" t="str">
        <f t="shared" si="7"/>
        <v/>
      </c>
      <c r="P59" s="34" t="str">
        <f t="shared" si="7"/>
        <v/>
      </c>
      <c r="Q59" s="34" t="str">
        <f t="shared" si="7"/>
        <v/>
      </c>
      <c r="R59" s="34" t="str">
        <f t="shared" si="7"/>
        <v/>
      </c>
      <c r="S59" s="34" t="str">
        <f t="shared" si="7"/>
        <v/>
      </c>
      <c r="T59" s="34" t="str">
        <f t="shared" si="7"/>
        <v/>
      </c>
      <c r="U59" s="34" t="str">
        <f t="shared" si="7"/>
        <v/>
      </c>
      <c r="V59" s="34" t="str">
        <f t="shared" si="9"/>
        <v/>
      </c>
      <c r="W59" s="34" t="str">
        <f t="shared" si="9"/>
        <v/>
      </c>
      <c r="X59" s="34" t="str">
        <f t="shared" si="9"/>
        <v/>
      </c>
      <c r="Y59" s="34" t="str">
        <f t="shared" si="9"/>
        <v/>
      </c>
      <c r="Z59" s="34" t="str">
        <f t="shared" si="9"/>
        <v/>
      </c>
      <c r="AA59" s="34" t="str">
        <f t="shared" si="9"/>
        <v/>
      </c>
      <c r="AB59" s="34" t="str">
        <f t="shared" si="9"/>
        <v/>
      </c>
      <c r="AC59" s="34" t="str">
        <f t="shared" si="8"/>
        <v/>
      </c>
      <c r="AD59" s="34" t="str">
        <f t="shared" si="8"/>
        <v/>
      </c>
    </row>
    <row r="60" spans="3:30" x14ac:dyDescent="0.25">
      <c r="C60"/>
      <c r="D60" s="35" t="str">
        <f t="shared" si="6"/>
        <v/>
      </c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</sheetData>
  <conditionalFormatting sqref="A24:AD54 A16:A21 A15:K15 M15:AD23 B16:K23">
    <cfRule type="expression" dxfId="7" priority="1" stopIfTrue="1">
      <formula>$D15="Done"</formula>
    </cfRule>
    <cfRule type="expression" dxfId="6" priority="2" stopIfTrue="1">
      <formula>$D15="Ongoing"</formula>
    </cfRule>
  </conditionalFormatting>
  <conditionalFormatting sqref="A23">
    <cfRule type="expression" dxfId="5" priority="15" stopIfTrue="1">
      <formula>$D22="Done"</formula>
    </cfRule>
    <cfRule type="expression" dxfId="4" priority="16" stopIfTrue="1">
      <formula>$D22="Ongoing"</formula>
    </cfRule>
  </conditionalFormatting>
  <dataValidations count="1">
    <dataValidation type="list" allowBlank="1" showInputMessage="1" sqref="D3:D8 D15:D60" xr:uid="{A90CE193-B08A-4062-B928-8EF127A0042D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62"/>
  <sheetViews>
    <sheetView topLeftCell="A4" zoomScale="70" zoomScaleNormal="70" workbookViewId="0">
      <selection activeCell="H22" sqref="H22"/>
    </sheetView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91</v>
      </c>
      <c r="B1" s="100" t="s">
        <v>96</v>
      </c>
      <c r="C1" s="85" t="s">
        <v>92</v>
      </c>
      <c r="D1" s="86" t="s">
        <v>104</v>
      </c>
      <c r="E1" s="86"/>
      <c r="F1" s="87"/>
    </row>
    <row r="2" spans="1:6" x14ac:dyDescent="0.25">
      <c r="A2" s="88" t="s">
        <v>93</v>
      </c>
      <c r="B2" s="81" t="s">
        <v>122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90</v>
      </c>
      <c r="B6" s="101">
        <v>8</v>
      </c>
      <c r="C6" s="96" t="s">
        <v>95</v>
      </c>
      <c r="D6" s="95"/>
      <c r="E6" s="96" t="s">
        <v>94</v>
      </c>
      <c r="F6" s="97"/>
    </row>
    <row r="8" spans="1:6" ht="13" thickBot="1" x14ac:dyDescent="0.3"/>
    <row r="9" spans="1:6" ht="13" x14ac:dyDescent="0.25">
      <c r="A9" s="84" t="s">
        <v>91</v>
      </c>
      <c r="B9" s="100" t="s">
        <v>96</v>
      </c>
      <c r="C9" s="85" t="s">
        <v>92</v>
      </c>
      <c r="D9" s="86" t="s">
        <v>104</v>
      </c>
      <c r="E9" s="86"/>
      <c r="F9" s="87"/>
    </row>
    <row r="10" spans="1:6" x14ac:dyDescent="0.25">
      <c r="A10" s="88" t="s">
        <v>93</v>
      </c>
      <c r="B10" s="81" t="s">
        <v>123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90</v>
      </c>
      <c r="B14" s="101">
        <v>10</v>
      </c>
      <c r="C14" s="96" t="s">
        <v>95</v>
      </c>
      <c r="D14" s="95"/>
      <c r="E14" s="96" t="s">
        <v>94</v>
      </c>
      <c r="F14" s="97"/>
    </row>
    <row r="16" spans="1:6" ht="13" thickBot="1" x14ac:dyDescent="0.3"/>
    <row r="17" spans="1:6" ht="13" x14ac:dyDescent="0.25">
      <c r="A17" s="84" t="s">
        <v>91</v>
      </c>
      <c r="B17" s="100" t="s">
        <v>96</v>
      </c>
      <c r="C17" s="85" t="s">
        <v>92</v>
      </c>
      <c r="D17" s="86" t="s">
        <v>104</v>
      </c>
      <c r="E17" s="86"/>
      <c r="F17" s="87"/>
    </row>
    <row r="18" spans="1:6" x14ac:dyDescent="0.25">
      <c r="A18" s="88" t="s">
        <v>93</v>
      </c>
      <c r="B18" s="81" t="s">
        <v>124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str">
        <f>CONCATENATE("Responsible Person: ",'Sp1'!C17)</f>
        <v>Responsible Person: Marcelo A.</v>
      </c>
      <c r="B21" s="80"/>
      <c r="C21" s="80"/>
      <c r="D21" s="80"/>
      <c r="E21" s="80"/>
      <c r="F21" s="99"/>
    </row>
    <row r="22" spans="1:6" ht="25.5" thickBot="1" x14ac:dyDescent="0.3">
      <c r="A22" s="94" t="s">
        <v>90</v>
      </c>
      <c r="B22" s="101">
        <v>10</v>
      </c>
      <c r="C22" s="96" t="s">
        <v>95</v>
      </c>
      <c r="D22" s="95"/>
      <c r="E22" s="96" t="s">
        <v>94</v>
      </c>
      <c r="F22" s="97"/>
    </row>
    <row r="24" spans="1:6" ht="13" thickBot="1" x14ac:dyDescent="0.3"/>
    <row r="25" spans="1:6" ht="13" x14ac:dyDescent="0.25">
      <c r="A25" s="84" t="s">
        <v>91</v>
      </c>
      <c r="B25" s="100" t="s">
        <v>96</v>
      </c>
      <c r="C25" s="85" t="s">
        <v>92</v>
      </c>
      <c r="D25" s="86" t="s">
        <v>104</v>
      </c>
      <c r="E25" s="86"/>
      <c r="F25" s="87"/>
    </row>
    <row r="26" spans="1:6" x14ac:dyDescent="0.25">
      <c r="A26" s="88" t="s">
        <v>93</v>
      </c>
      <c r="B26" s="81" t="s">
        <v>125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",'Sp1'!C18)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90</v>
      </c>
      <c r="B30" s="101">
        <v>8</v>
      </c>
      <c r="C30" s="96" t="s">
        <v>95</v>
      </c>
      <c r="D30" s="95"/>
      <c r="E30" s="96" t="s">
        <v>94</v>
      </c>
      <c r="F30" s="97"/>
    </row>
    <row r="32" spans="1:6" ht="13" thickBot="1" x14ac:dyDescent="0.3"/>
    <row r="33" spans="1:6" ht="13" x14ac:dyDescent="0.25">
      <c r="A33" s="84" t="s">
        <v>91</v>
      </c>
      <c r="B33" s="100" t="s">
        <v>96</v>
      </c>
      <c r="C33" s="85" t="s">
        <v>92</v>
      </c>
      <c r="D33" s="86" t="s">
        <v>104</v>
      </c>
      <c r="E33" s="86"/>
      <c r="F33" s="87"/>
    </row>
    <row r="34" spans="1:6" x14ac:dyDescent="0.25">
      <c r="A34" s="88" t="s">
        <v>93</v>
      </c>
      <c r="B34" s="81" t="s">
        <v>126</v>
      </c>
      <c r="C34" s="81"/>
      <c r="D34" s="81"/>
      <c r="E34" s="81"/>
      <c r="F34" s="89"/>
    </row>
    <row r="35" spans="1:6" x14ac:dyDescent="0.25">
      <c r="A35" s="90"/>
      <c r="B35" s="82"/>
      <c r="C35" s="82"/>
      <c r="D35" s="82"/>
      <c r="E35" s="82"/>
      <c r="F35" s="91"/>
    </row>
    <row r="36" spans="1:6" x14ac:dyDescent="0.25">
      <c r="A36" s="92"/>
      <c r="B36" s="83"/>
      <c r="C36" s="83"/>
      <c r="D36" s="83"/>
      <c r="E36" s="83"/>
      <c r="F36" s="93"/>
    </row>
    <row r="37" spans="1:6" x14ac:dyDescent="0.25">
      <c r="A37" s="98" t="str">
        <f>CONCATENATE("Responsible Person: ",'Sp1'!C19)</f>
        <v>Responsible Person: Marcelo A.</v>
      </c>
      <c r="B37" s="80"/>
      <c r="C37" s="80"/>
      <c r="D37" s="80"/>
      <c r="E37" s="80"/>
      <c r="F37" s="99"/>
    </row>
    <row r="38" spans="1:6" ht="25.5" thickBot="1" x14ac:dyDescent="0.3">
      <c r="A38" s="94" t="s">
        <v>90</v>
      </c>
      <c r="B38" s="101">
        <v>8</v>
      </c>
      <c r="C38" s="96" t="s">
        <v>95</v>
      </c>
      <c r="D38" s="95"/>
      <c r="E38" s="96" t="s">
        <v>94</v>
      </c>
      <c r="F38" s="97"/>
    </row>
    <row r="40" spans="1:6" ht="13" thickBot="1" x14ac:dyDescent="0.3"/>
    <row r="41" spans="1:6" ht="13" x14ac:dyDescent="0.25">
      <c r="A41" s="84" t="s">
        <v>91</v>
      </c>
      <c r="B41" s="100" t="s">
        <v>96</v>
      </c>
      <c r="C41" s="85" t="s">
        <v>92</v>
      </c>
      <c r="D41" s="86" t="s">
        <v>104</v>
      </c>
      <c r="E41" s="86"/>
      <c r="F41" s="87"/>
    </row>
    <row r="42" spans="1:6" x14ac:dyDescent="0.25">
      <c r="A42" s="88" t="s">
        <v>93</v>
      </c>
      <c r="B42" s="81" t="s">
        <v>127</v>
      </c>
      <c r="C42" s="81"/>
      <c r="D42" s="81"/>
      <c r="E42" s="81"/>
      <c r="F42" s="89"/>
    </row>
    <row r="43" spans="1:6" x14ac:dyDescent="0.25">
      <c r="A43" s="90"/>
      <c r="B43" s="82"/>
      <c r="C43" s="82"/>
      <c r="D43" s="82"/>
      <c r="E43" s="82"/>
      <c r="F43" s="91"/>
    </row>
    <row r="44" spans="1:6" x14ac:dyDescent="0.25">
      <c r="A44" s="92"/>
      <c r="B44" s="83"/>
      <c r="C44" s="83"/>
      <c r="D44" s="83"/>
      <c r="E44" s="83"/>
      <c r="F44" s="93"/>
    </row>
    <row r="45" spans="1:6" x14ac:dyDescent="0.25">
      <c r="A45" s="98" t="str">
        <f>CONCATENATE("Responsible Person: ",'Sp1'!C20)</f>
        <v>Responsible Person: Marcelo A.</v>
      </c>
      <c r="B45" s="80"/>
      <c r="C45" s="80"/>
      <c r="D45" s="80"/>
      <c r="E45" s="80"/>
      <c r="F45" s="99"/>
    </row>
    <row r="46" spans="1:6" ht="25.5" thickBot="1" x14ac:dyDescent="0.3">
      <c r="A46" s="94" t="s">
        <v>90</v>
      </c>
      <c r="B46" s="101">
        <v>2</v>
      </c>
      <c r="C46" s="96" t="s">
        <v>95</v>
      </c>
      <c r="D46" s="95"/>
      <c r="E46" s="96" t="s">
        <v>94</v>
      </c>
      <c r="F46" s="97"/>
    </row>
    <row r="48" spans="1:6" ht="13" thickBot="1" x14ac:dyDescent="0.3"/>
    <row r="49" spans="1:6" ht="13" x14ac:dyDescent="0.25">
      <c r="A49" s="84" t="s">
        <v>91</v>
      </c>
      <c r="B49" s="100" t="s">
        <v>96</v>
      </c>
      <c r="C49" s="85" t="s">
        <v>92</v>
      </c>
      <c r="D49" s="86" t="s">
        <v>104</v>
      </c>
      <c r="E49" s="86"/>
      <c r="F49" s="87"/>
    </row>
    <row r="50" spans="1:6" x14ac:dyDescent="0.25">
      <c r="A50" s="88" t="s">
        <v>93</v>
      </c>
      <c r="B50" s="81" t="s">
        <v>129</v>
      </c>
      <c r="C50" s="81"/>
      <c r="D50" s="81"/>
      <c r="E50" s="81"/>
      <c r="F50" s="89"/>
    </row>
    <row r="51" spans="1:6" x14ac:dyDescent="0.25">
      <c r="A51" s="90"/>
      <c r="B51" s="82"/>
      <c r="C51" s="82"/>
      <c r="D51" s="82"/>
      <c r="E51" s="82"/>
      <c r="F51" s="91"/>
    </row>
    <row r="52" spans="1:6" x14ac:dyDescent="0.25">
      <c r="A52" s="92"/>
      <c r="B52" s="83"/>
      <c r="C52" s="83"/>
      <c r="D52" s="83"/>
      <c r="E52" s="83"/>
      <c r="F52" s="93"/>
    </row>
    <row r="53" spans="1:6" x14ac:dyDescent="0.25">
      <c r="A53" s="98" t="str">
        <f>CONCATENATE("Responsible Person: ",'Sp1'!C21)</f>
        <v>Responsible Person: Marcelo A.</v>
      </c>
      <c r="B53" s="80"/>
      <c r="C53" s="80"/>
      <c r="D53" s="80"/>
      <c r="E53" s="80"/>
      <c r="F53" s="99"/>
    </row>
    <row r="54" spans="1:6" ht="25.5" thickBot="1" x14ac:dyDescent="0.3">
      <c r="A54" s="94" t="s">
        <v>90</v>
      </c>
      <c r="B54" s="101">
        <v>5</v>
      </c>
      <c r="C54" s="96" t="s">
        <v>95</v>
      </c>
      <c r="D54" s="95"/>
      <c r="E54" s="96" t="s">
        <v>94</v>
      </c>
      <c r="F54" s="97"/>
    </row>
    <row r="56" spans="1:6" ht="13" thickBot="1" x14ac:dyDescent="0.3"/>
    <row r="57" spans="1:6" ht="13" x14ac:dyDescent="0.25">
      <c r="A57" s="84" t="s">
        <v>91</v>
      </c>
      <c r="B57" s="100" t="s">
        <v>96</v>
      </c>
      <c r="C57" s="85" t="s">
        <v>92</v>
      </c>
      <c r="D57" s="86" t="s">
        <v>104</v>
      </c>
      <c r="E57" s="86"/>
      <c r="F57" s="87"/>
    </row>
    <row r="58" spans="1:6" x14ac:dyDescent="0.25">
      <c r="A58" s="88" t="s">
        <v>93</v>
      </c>
      <c r="B58" s="81" t="s">
        <v>128</v>
      </c>
      <c r="C58" s="81"/>
      <c r="D58" s="81"/>
      <c r="E58" s="81"/>
      <c r="F58" s="89"/>
    </row>
    <row r="59" spans="1:6" x14ac:dyDescent="0.25">
      <c r="A59" s="90"/>
      <c r="B59" s="82"/>
      <c r="C59" s="82"/>
      <c r="D59" s="82"/>
      <c r="E59" s="82"/>
      <c r="F59" s="91"/>
    </row>
    <row r="60" spans="1:6" x14ac:dyDescent="0.25">
      <c r="A60" s="92"/>
      <c r="B60" s="83"/>
      <c r="C60" s="83"/>
      <c r="D60" s="83"/>
      <c r="E60" s="83"/>
      <c r="F60" s="93"/>
    </row>
    <row r="61" spans="1:6" x14ac:dyDescent="0.25">
      <c r="A61" s="98" t="str">
        <f>CONCATENATE("Responsible Person: ",'Sp1'!C22)</f>
        <v>Responsible Person: Marcelo A.</v>
      </c>
      <c r="B61" s="80"/>
      <c r="C61" s="80"/>
      <c r="D61" s="80"/>
      <c r="E61" s="80"/>
      <c r="F61" s="99"/>
    </row>
    <row r="62" spans="1:6" ht="25.5" thickBot="1" x14ac:dyDescent="0.3">
      <c r="A62" s="94" t="s">
        <v>90</v>
      </c>
      <c r="B62" s="101">
        <v>10</v>
      </c>
      <c r="C62" s="96" t="s">
        <v>95</v>
      </c>
      <c r="D62" s="95"/>
      <c r="E62" s="96" t="s">
        <v>94</v>
      </c>
      <c r="F62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41</vt:i4>
      </vt:variant>
    </vt:vector>
  </HeadingPairs>
  <TitlesOfParts>
    <vt:vector size="49" baseType="lpstr">
      <vt:lpstr>Release Plan</vt:lpstr>
      <vt:lpstr>Product Backlog</vt:lpstr>
      <vt:lpstr>PB Burndown</vt:lpstr>
      <vt:lpstr>Sp1</vt:lpstr>
      <vt:lpstr>Sp2</vt:lpstr>
      <vt:lpstr>Sp3</vt:lpstr>
      <vt:lpstr>Sprint Sheet Template</vt:lpstr>
      <vt:lpstr>Task Slips</vt:lpstr>
      <vt:lpstr>'Product Backlog'!Área_de_impresión</vt:lpstr>
      <vt:lpstr>'Sp1'!DoneDays</vt:lpstr>
      <vt:lpstr>'Sp2'!DoneDays</vt:lpstr>
      <vt:lpstr>'Sp3'!DoneDays</vt:lpstr>
      <vt:lpstr>'Sprint Sheet Template'!DoneDays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'Sp3'!SprintTasks</vt:lpstr>
      <vt:lpstr>SprintTasks</vt:lpstr>
      <vt:lpstr>Status</vt:lpstr>
      <vt:lpstr>StoryName</vt:lpstr>
      <vt:lpstr>'Sp1'!TaskRows</vt:lpstr>
      <vt:lpstr>'Sp2'!TaskRows</vt:lpstr>
      <vt:lpstr>'Sp3'!TaskRows</vt:lpstr>
      <vt:lpstr>'Sprint Sheet Template'!TaskRows</vt:lpstr>
      <vt:lpstr>'Sp1'!TaskStatus</vt:lpstr>
      <vt:lpstr>'Sp2'!TaskStatus</vt:lpstr>
      <vt:lpstr>'Sp3'!TaskStatus</vt:lpstr>
      <vt:lpstr>TaskStatus</vt:lpstr>
      <vt:lpstr>'Sp1'!TaskStoryID</vt:lpstr>
      <vt:lpstr>'Sp2'!TaskStoryID</vt:lpstr>
      <vt:lpstr>'Sp3'!TaskStoryID</vt:lpstr>
      <vt:lpstr>TaskStoryID</vt:lpstr>
      <vt:lpstr>'Sp1'!TotalEffort</vt:lpstr>
      <vt:lpstr>'Sp2'!TotalEffort</vt:lpstr>
      <vt:lpstr>'Sp3'!TotalEffort</vt:lpstr>
      <vt:lpstr>'Sprint Sheet Template'!TotalEffort</vt:lpstr>
      <vt:lpstr>'Sp1'!TrendDays</vt:lpstr>
      <vt:lpstr>'Sp2'!TrendDays</vt:lpstr>
      <vt:lpstr>'Sp3'!TrendDays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2018-08-15T17:44:30Z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