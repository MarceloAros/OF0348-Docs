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CBB4A4D6-BA0F-4B9D-A986-25D01156F817}" xr6:coauthVersionLast="33" xr6:coauthVersionMax="33" xr10:uidLastSave="{00000000-0000-0000-0000-000000000000}"/>
  <bookViews>
    <workbookView xWindow="2780" yWindow="4280" windowWidth="16420" windowHeight="2680" tabRatio="576" firstSheet="1" activeTab="4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rint Sheet Template" sheetId="16" r:id="rId6"/>
    <sheet name="Task Slips" sheetId="21" r:id="rId7"/>
  </sheets>
  <definedNames>
    <definedName name="_xlnm.Print_Area" localSheetId="1">'Product Backlog'!$A:$G</definedName>
    <definedName name="_xlnm.Print_Area" localSheetId="6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'Sprint Sheet Template'!$D$11</definedName>
    <definedName name="DoneDays">#REF!</definedName>
    <definedName name="DoneDaysSp2">#REF!</definedName>
    <definedName name="ImplementationDays" localSheetId="3">'Sp1'!$B$9</definedName>
    <definedName name="ImplementationDays" localSheetId="4">'Sp2'!$B$9</definedName>
    <definedName name="ImplementationDays" localSheetId="5">'Sprint Sheet Template'!$B$9</definedName>
    <definedName name="ImplementationDays">#REF!</definedName>
    <definedName name="ImplementationDaysSp2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'Sp2'!$A$14:$AD$56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'Sprint Sheet Template'!$B$11</definedName>
    <definedName name="TaskRows">#REF!</definedName>
    <definedName name="TaskRowSp2">#REF!</definedName>
    <definedName name="TaskStatus" localSheetId="3">'Sp1'!$D$14:$D$57</definedName>
    <definedName name="TaskStatus" localSheetId="4">'Sp2'!$D$14:$D$51</definedName>
    <definedName name="TaskStatus">'Sprint Sheet Template'!$D$14:$D$58</definedName>
    <definedName name="TaskStoryID" localSheetId="3">'Sp1'!$B$14:$B$52</definedName>
    <definedName name="TaskStoryID" localSheetId="4">'Sp2'!$B$14:$B$46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'Sprint Sheet Template'!$E$10</definedName>
    <definedName name="TotalEffort">#REF!</definedName>
    <definedName name="TotalEffortSp2">#REF!</definedName>
    <definedName name="TrendDays" localSheetId="3">'Sp1'!$D$13</definedName>
    <definedName name="TrendDays" localSheetId="4">'Sp2'!$D$13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17"/>
</workbook>
</file>

<file path=xl/calcChain.xml><?xml version="1.0" encoding="utf-8"?>
<calcChain xmlns="http://schemas.openxmlformats.org/spreadsheetml/2006/main">
  <c r="D57" i="22" l="1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F36" i="22"/>
  <c r="D36" i="22"/>
  <c r="F35" i="22"/>
  <c r="D35" i="22"/>
  <c r="F34" i="22"/>
  <c r="D34" i="22"/>
  <c r="H14" i="22"/>
  <c r="H55" i="22" s="1"/>
  <c r="G14" i="22"/>
  <c r="G56" i="22" s="1"/>
  <c r="B11" i="22"/>
  <c r="Z10" i="22" s="1"/>
  <c r="I10" i="22" l="1"/>
  <c r="Y10" i="22"/>
  <c r="K10" i="22"/>
  <c r="AA10" i="22"/>
  <c r="Q10" i="22"/>
  <c r="E10" i="22"/>
  <c r="F11" i="22" s="1"/>
  <c r="S10" i="22"/>
  <c r="M10" i="22"/>
  <c r="U10" i="22"/>
  <c r="G10" i="22"/>
  <c r="O10" i="22"/>
  <c r="W10" i="22"/>
  <c r="H10" i="22"/>
  <c r="L10" i="22"/>
  <c r="P10" i="22"/>
  <c r="T10" i="22"/>
  <c r="X10" i="22"/>
  <c r="AB10" i="22"/>
  <c r="F10" i="22"/>
  <c r="J10" i="22"/>
  <c r="N10" i="22"/>
  <c r="R10" i="22"/>
  <c r="V10" i="22"/>
  <c r="H56" i="22"/>
  <c r="I14" i="22"/>
  <c r="G55" i="22"/>
  <c r="E18" i="7"/>
  <c r="D15" i="20"/>
  <c r="A29" i="21"/>
  <c r="A21" i="21"/>
  <c r="A13" i="21"/>
  <c r="A5" i="21"/>
  <c r="D15" i="16"/>
  <c r="C28" i="20"/>
  <c r="H11" i="22" l="1"/>
  <c r="G11" i="22"/>
  <c r="I55" i="22"/>
  <c r="J14" i="22"/>
  <c r="I11" i="22"/>
  <c r="I56" i="22"/>
  <c r="B17" i="7"/>
  <c r="B18" i="7" s="1"/>
  <c r="G4" i="20"/>
  <c r="D10" i="20" s="1"/>
  <c r="D11" i="20" s="1"/>
  <c r="B28" i="20"/>
  <c r="F28" i="20" s="1"/>
  <c r="E16" i="7"/>
  <c r="E4" i="7" s="1"/>
  <c r="E17" i="7"/>
  <c r="E19" i="7"/>
  <c r="E20" i="7"/>
  <c r="E5" i="7" s="1"/>
  <c r="D16" i="7"/>
  <c r="E21" i="7"/>
  <c r="G14" i="19"/>
  <c r="H14" i="19" s="1"/>
  <c r="D17" i="7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F15" i="16"/>
  <c r="F16" i="16"/>
  <c r="F17" i="16"/>
  <c r="F18" i="16"/>
  <c r="F10" i="16"/>
  <c r="E10" i="7"/>
  <c r="E9" i="7"/>
  <c r="E8" i="7"/>
  <c r="E7" i="7"/>
  <c r="E6" i="7"/>
  <c r="D4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9" i="16"/>
  <c r="I14" i="16"/>
  <c r="H58" i="16"/>
  <c r="I58" i="16"/>
  <c r="I59" i="16"/>
  <c r="J14" i="16"/>
  <c r="K14" i="16"/>
  <c r="J58" i="16"/>
  <c r="J59" i="16"/>
  <c r="K11" i="16"/>
  <c r="K59" i="16"/>
  <c r="L14" i="16"/>
  <c r="K58" i="16"/>
  <c r="L11" i="16"/>
  <c r="L59" i="16"/>
  <c r="M14" i="16"/>
  <c r="L58" i="16"/>
  <c r="M58" i="16"/>
  <c r="M11" i="16"/>
  <c r="M59" i="16"/>
  <c r="N14" i="16"/>
  <c r="O14" i="16"/>
  <c r="N58" i="16"/>
  <c r="N11" i="16"/>
  <c r="N59" i="16"/>
  <c r="O11" i="16"/>
  <c r="O59" i="16"/>
  <c r="P14" i="16"/>
  <c r="O58" i="16"/>
  <c r="P11" i="16"/>
  <c r="P59" i="16"/>
  <c r="Q14" i="16"/>
  <c r="P58" i="16"/>
  <c r="Q58" i="16"/>
  <c r="Q11" i="16"/>
  <c r="Q59" i="16"/>
  <c r="R14" i="16"/>
  <c r="S14" i="16"/>
  <c r="R58" i="16"/>
  <c r="R59" i="16"/>
  <c r="R11" i="16"/>
  <c r="S11" i="16"/>
  <c r="S59" i="16"/>
  <c r="T14" i="16"/>
  <c r="S58" i="16"/>
  <c r="T11" i="16"/>
  <c r="T59" i="16"/>
  <c r="U14" i="16"/>
  <c r="T58" i="16"/>
  <c r="U58" i="16"/>
  <c r="U11" i="16"/>
  <c r="U59" i="16"/>
  <c r="V14" i="16"/>
  <c r="W14" i="16"/>
  <c r="V58" i="16"/>
  <c r="V59" i="16"/>
  <c r="V11" i="16"/>
  <c r="W11" i="16"/>
  <c r="W59" i="16"/>
  <c r="X14" i="16"/>
  <c r="W58" i="16"/>
  <c r="X11" i="16"/>
  <c r="X59" i="16"/>
  <c r="Y14" i="16"/>
  <c r="X58" i="16"/>
  <c r="Y58" i="16"/>
  <c r="Y11" i="16"/>
  <c r="Y59" i="16"/>
  <c r="Z14" i="16"/>
  <c r="AA14" i="16"/>
  <c r="Z58" i="16"/>
  <c r="Z59" i="16"/>
  <c r="Z11" i="16"/>
  <c r="AA11" i="16"/>
  <c r="AA59" i="16"/>
  <c r="AB14" i="16"/>
  <c r="AA58" i="16"/>
  <c r="AB11" i="16"/>
  <c r="AB59" i="16"/>
  <c r="AC14" i="16"/>
  <c r="AB58" i="16"/>
  <c r="AC16" i="16"/>
  <c r="AC58" i="16"/>
  <c r="AC17" i="16"/>
  <c r="AC18" i="16"/>
  <c r="AC11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D16" i="16"/>
  <c r="AD17" i="16"/>
  <c r="AD58" i="16"/>
  <c r="AD18" i="16"/>
  <c r="AD11" i="16"/>
  <c r="AD22" i="16"/>
  <c r="AD26" i="16"/>
  <c r="AD30" i="16"/>
  <c r="AD34" i="16"/>
  <c r="AD38" i="16"/>
  <c r="AD42" i="16"/>
  <c r="AD46" i="16"/>
  <c r="AD50" i="16"/>
  <c r="AD54" i="16"/>
  <c r="AD21" i="16"/>
  <c r="AD25" i="16"/>
  <c r="AD29" i="16"/>
  <c r="AD33" i="16"/>
  <c r="AD37" i="16"/>
  <c r="AD41" i="16"/>
  <c r="AD45" i="16"/>
  <c r="AD49" i="16"/>
  <c r="AD53" i="16"/>
  <c r="AD57" i="16"/>
  <c r="AD20" i="16"/>
  <c r="AD24" i="16"/>
  <c r="AD28" i="16"/>
  <c r="AD32" i="16"/>
  <c r="AD36" i="16"/>
  <c r="AD40" i="16"/>
  <c r="AD44" i="16"/>
  <c r="AD48" i="16"/>
  <c r="AD52" i="16"/>
  <c r="AD56" i="16"/>
  <c r="AD19" i="16"/>
  <c r="AD23" i="16"/>
  <c r="AD27" i="16"/>
  <c r="AD31" i="16"/>
  <c r="AD35" i="16"/>
  <c r="AD39" i="16"/>
  <c r="AD43" i="16"/>
  <c r="AD47" i="16"/>
  <c r="AD51" i="16"/>
  <c r="AD55" i="16"/>
  <c r="AD59" i="16"/>
  <c r="K14" i="22" l="1"/>
  <c r="J11" i="22"/>
  <c r="J56" i="22"/>
  <c r="J55" i="22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J11" i="16"/>
  <c r="P30" i="20"/>
  <c r="H11" i="16"/>
  <c r="I11" i="16"/>
  <c r="D18" i="7"/>
  <c r="B19" i="7"/>
  <c r="G11" i="16"/>
  <c r="D11" i="16"/>
  <c r="F13" i="16" s="1"/>
  <c r="P33" i="20"/>
  <c r="P29" i="20"/>
  <c r="P28" i="20"/>
  <c r="P32" i="20"/>
  <c r="P31" i="20"/>
  <c r="Q29" i="20"/>
  <c r="Q31" i="20"/>
  <c r="Q33" i="20"/>
  <c r="Q28" i="20"/>
  <c r="Q30" i="20"/>
  <c r="Q32" i="20"/>
  <c r="K56" i="22" l="1"/>
  <c r="L14" i="22"/>
  <c r="K55" i="22"/>
  <c r="K11" i="22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/>
  <c r="R12" i="16" s="1"/>
  <c r="L55" i="22" l="1"/>
  <c r="M14" i="22"/>
  <c r="L11" i="22"/>
  <c r="L56" i="22"/>
  <c r="E30" i="20"/>
  <c r="F30" i="20"/>
  <c r="G30" i="20" s="1"/>
  <c r="B31" i="20"/>
  <c r="E31" i="20" s="1"/>
  <c r="I31" i="20"/>
  <c r="K14" i="19"/>
  <c r="J61" i="19"/>
  <c r="J62" i="19"/>
  <c r="J11" i="19"/>
  <c r="K29" i="20"/>
  <c r="U12" i="16"/>
  <c r="W12" i="16"/>
  <c r="Z12" i="16"/>
  <c r="AC12" i="16"/>
  <c r="AD12" i="16"/>
  <c r="M12" i="16"/>
  <c r="V12" i="16"/>
  <c r="N12" i="16"/>
  <c r="O12" i="16"/>
  <c r="X12" i="16"/>
  <c r="G12" i="16"/>
  <c r="T12" i="16"/>
  <c r="P12" i="16"/>
  <c r="Q12" i="16"/>
  <c r="AA12" i="16"/>
  <c r="AB12" i="16"/>
  <c r="J12" i="16"/>
  <c r="Y12" i="16"/>
  <c r="S12" i="16"/>
  <c r="H12" i="16"/>
  <c r="K12" i="16"/>
  <c r="I12" i="16"/>
  <c r="F12" i="16"/>
  <c r="B21" i="7"/>
  <c r="D20" i="7"/>
  <c r="L12" i="16"/>
  <c r="M55" i="22" l="1"/>
  <c r="N14" i="22"/>
  <c r="M11" i="22"/>
  <c r="M56" i="22"/>
  <c r="B32" i="20"/>
  <c r="B33" i="20" s="1"/>
  <c r="F33" i="20" s="1"/>
  <c r="F31" i="20"/>
  <c r="G31" i="20" s="1"/>
  <c r="K30" i="20"/>
  <c r="N31" i="20"/>
  <c r="I32" i="20"/>
  <c r="H32" i="20" s="1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O14" i="22" l="1"/>
  <c r="N11" i="22"/>
  <c r="N56" i="22"/>
  <c r="N55" i="22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O56" i="22" l="1"/>
  <c r="O11" i="22"/>
  <c r="O55" i="22"/>
  <c r="P14" i="22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P55" i="22" l="1"/>
  <c r="Q14" i="22"/>
  <c r="P11" i="22"/>
  <c r="P56" i="22"/>
  <c r="M32" i="20"/>
  <c r="M33" i="20"/>
  <c r="M29" i="20"/>
  <c r="N61" i="19"/>
  <c r="N62" i="19"/>
  <c r="N11" i="19"/>
  <c r="O14" i="19"/>
  <c r="G3" i="20"/>
  <c r="B25" i="7"/>
  <c r="D24" i="7"/>
  <c r="A24" i="7"/>
  <c r="E24" i="7" s="1"/>
  <c r="Q55" i="22" l="1"/>
  <c r="R14" i="22"/>
  <c r="Q11" i="22"/>
  <c r="Q56" i="22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S14" i="22" l="1"/>
  <c r="R11" i="22"/>
  <c r="R56" i="22"/>
  <c r="R55" i="22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S56" i="22" l="1"/>
  <c r="T14" i="22"/>
  <c r="S11" i="22"/>
  <c r="S55" i="22"/>
  <c r="Q61" i="19"/>
  <c r="Q11" i="19"/>
  <c r="R14" i="19"/>
  <c r="Q62" i="19"/>
  <c r="D27" i="7"/>
  <c r="B28" i="7"/>
  <c r="A27" i="7"/>
  <c r="E27" i="7" s="1"/>
  <c r="T55" i="22" l="1"/>
  <c r="U14" i="22"/>
  <c r="T11" i="22"/>
  <c r="T56" i="22"/>
  <c r="R61" i="19"/>
  <c r="R62" i="19"/>
  <c r="S14" i="19"/>
  <c r="R11" i="19"/>
  <c r="D28" i="7"/>
  <c r="B29" i="7"/>
  <c r="A28" i="7"/>
  <c r="E28" i="7" s="1"/>
  <c r="U55" i="22" l="1"/>
  <c r="V14" i="22"/>
  <c r="U11" i="22"/>
  <c r="U56" i="22"/>
  <c r="S11" i="19"/>
  <c r="S62" i="19"/>
  <c r="S61" i="19"/>
  <c r="T14" i="19"/>
  <c r="A29" i="7"/>
  <c r="E29" i="7" s="1"/>
  <c r="D29" i="7"/>
  <c r="B30" i="7"/>
  <c r="W14" i="22" l="1"/>
  <c r="V11" i="22"/>
  <c r="V56" i="22"/>
  <c r="V55" i="22"/>
  <c r="T61" i="19"/>
  <c r="T62" i="19"/>
  <c r="U14" i="19"/>
  <c r="T11" i="19"/>
  <c r="A30" i="7"/>
  <c r="E30" i="7" s="1"/>
  <c r="D30" i="7"/>
  <c r="W56" i="22" l="1"/>
  <c r="X14" i="22"/>
  <c r="W55" i="22"/>
  <c r="W11" i="22"/>
  <c r="U11" i="19"/>
  <c r="U61" i="19"/>
  <c r="V14" i="19"/>
  <c r="U62" i="19"/>
  <c r="X55" i="22" l="1"/>
  <c r="Y14" i="22"/>
  <c r="X11" i="22"/>
  <c r="X56" i="22"/>
  <c r="V61" i="19"/>
  <c r="V62" i="19"/>
  <c r="V11" i="19"/>
  <c r="W14" i="19"/>
  <c r="Y55" i="22" l="1"/>
  <c r="Z14" i="22"/>
  <c r="Y11" i="22"/>
  <c r="Y56" i="22"/>
  <c r="W62" i="19"/>
  <c r="W11" i="19"/>
  <c r="X14" i="19"/>
  <c r="W61" i="19"/>
  <c r="AA14" i="22" l="1"/>
  <c r="Z11" i="22"/>
  <c r="Z56" i="22"/>
  <c r="Z55" i="22"/>
  <c r="X61" i="19"/>
  <c r="X62" i="19"/>
  <c r="Y14" i="19"/>
  <c r="X11" i="19"/>
  <c r="AA56" i="22" l="1"/>
  <c r="AA11" i="22"/>
  <c r="AA55" i="22"/>
  <c r="AB14" i="22"/>
  <c r="Y11" i="19"/>
  <c r="Y61" i="19"/>
  <c r="Z14" i="19"/>
  <c r="Y62" i="19"/>
  <c r="AB55" i="22" l="1"/>
  <c r="AC14" i="22"/>
  <c r="AB11" i="22"/>
  <c r="AB56" i="22"/>
  <c r="Z61" i="19"/>
  <c r="Z62" i="19"/>
  <c r="AA14" i="19"/>
  <c r="Z11" i="19"/>
  <c r="AC55" i="22" l="1"/>
  <c r="AC32" i="22"/>
  <c r="AC30" i="22"/>
  <c r="AC27" i="22"/>
  <c r="AC25" i="22"/>
  <c r="AC23" i="22"/>
  <c r="AC21" i="22"/>
  <c r="AC19" i="22"/>
  <c r="AC15" i="22"/>
  <c r="AD14" i="22"/>
  <c r="AC11" i="22"/>
  <c r="AC56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5" i="22"/>
  <c r="AC34" i="22"/>
  <c r="AC33" i="22"/>
  <c r="AC31" i="22"/>
  <c r="AC29" i="22"/>
  <c r="AC26" i="22"/>
  <c r="AC24" i="22"/>
  <c r="AC22" i="22"/>
  <c r="AC20" i="22"/>
  <c r="AC16" i="22"/>
  <c r="AA62" i="19"/>
  <c r="AA11" i="19"/>
  <c r="AA61" i="19"/>
  <c r="AB14" i="19"/>
  <c r="AD11" i="22" l="1"/>
  <c r="AD30" i="22"/>
  <c r="AD25" i="22"/>
  <c r="AD21" i="22"/>
  <c r="AD15" i="22"/>
  <c r="AD56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1" i="22"/>
  <c r="AD29" i="22"/>
  <c r="AD26" i="22"/>
  <c r="AD24" i="22"/>
  <c r="AD22" i="22"/>
  <c r="AD20" i="22"/>
  <c r="AD16" i="22"/>
  <c r="AD55" i="22"/>
  <c r="AD32" i="22"/>
  <c r="AD27" i="22"/>
  <c r="AD23" i="22"/>
  <c r="AD19" i="22"/>
  <c r="AC10" i="22"/>
  <c r="AB11" i="19"/>
  <c r="AB62" i="19"/>
  <c r="AC14" i="19"/>
  <c r="AB61" i="19"/>
  <c r="AD10" i="22" l="1"/>
  <c r="D11" i="22" s="1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F13" i="22" l="1"/>
  <c r="D13" i="22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Y12" i="22" l="1"/>
  <c r="O12" i="22"/>
  <c r="L12" i="22"/>
  <c r="R12" i="22"/>
  <c r="M12" i="22"/>
  <c r="S12" i="22"/>
  <c r="J12" i="22"/>
  <c r="P12" i="22"/>
  <c r="Z12" i="22"/>
  <c r="Q12" i="22"/>
  <c r="AB12" i="22"/>
  <c r="AC12" i="22"/>
  <c r="G12" i="22"/>
  <c r="W12" i="22"/>
  <c r="V12" i="22"/>
  <c r="T12" i="22"/>
  <c r="F12" i="22"/>
  <c r="AD12" i="22"/>
  <c r="U12" i="22"/>
  <c r="K12" i="22"/>
  <c r="AA12" i="22"/>
  <c r="H12" i="22"/>
  <c r="X12" i="22"/>
  <c r="N12" i="22"/>
  <c r="I12" i="22"/>
  <c r="AD10" i="19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A1E31EBA-04E9-493F-B766-892312BE269A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<sst xmlns="http://schemas.openxmlformats.org/spreadsheetml/2006/main" count="283" uniqueCount="140">
  <si>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</si>
  <si>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</si>
  <si>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</si>
  <si>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</si>
  <si>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</si>
  <si>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</si>
  <si>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</si>
  <si>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</si>
  <si>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</si>
  <si>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</si>
  <si>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</si>
  <si>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</si>
  <si>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</si>
  <si>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</si>
  <si>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</si>
  <si>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</si>
  <si>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</si>
  <si>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</si>
  <si>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</si>
  <si>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</si>
  <si>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</si>
  <si>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</si>
  <si>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</si>
  <si>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</si>
  <si>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</si>
  <si>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</si>
  <si>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</si>
  <si>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</si>
  <si>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</si>
  <si>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</si>
  <si>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</si>
  <si>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</si>
  <si>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</si>
  <si>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</si>
  <si>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</si>
  <si>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</si>
  <si>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</si>
  <si>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</si>
  <si>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</si>
  <si>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</si>
  <si>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</si>
  <si>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</si>
  <si>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</si>
  <si>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</si>
  <si>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</si>
  <si>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</si>
  <si>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</si>
  <si>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</si>
  <si>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</si>
  <si>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</si>
  <si>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</si>
  <si>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</si>
  <si>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</si>
  <si>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</si>
  <si>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</si>
  <si>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</si>
  <si>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</si>
  <si>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</si>
  <si>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</si>
  <si>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</si>
  <si>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</si>
  <si>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</si>
  <si>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</si>
  <si>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</si>
  <si>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</si>
  <si>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</si>
  <si>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</si>
  <si>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</si>
  <si>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</si>
  <si>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</si>
  <si>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</si>
  <si>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</si>
  <si>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</si>
  <si>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</si>
  <si>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</si>
  <si>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</si>
  <si>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</si>
  <si>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</si>
  <si>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</si>
  <si>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</si>
  <si>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</si>
  <si>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</si>
  <si>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</si>
  <si>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</si>
  <si>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</si>
  <si>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</si>
  <si>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</si>
  <si>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</si>
  <si>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</si>
  <si>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</si>
  <si>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</si>
  <si>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</si>
  <si>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</si>
  <si>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</si>
  <si>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</si>
  <si>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</si>
  <si>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</si>
  <si>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</si>
  <si>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</si>
  <si>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</si>
  <si>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</si>
  <si>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</si>
  <si>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</si>
  <si>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</si>
  <si>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</si>
  <si>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</si>
  <si>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</si>
  <si>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</si>
  <si>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</si>
  <si>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</si>
  <si>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</si>
  <si>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</si>
  <si>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</si>
  <si>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</si>
  <si>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</si>
  <si>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</si>
  <si>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</si>
  <si>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</si>
  <si>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</si>
  <si>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</si>
  <si>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</si>
  <si>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</si>
  <si>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</si>
  <si>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</si>
  <si>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</si>
  <si>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</si>
  <si>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</si>
  <si>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</si>
  <si>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</si>
  <si>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</si>
  <si>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</si>
  <si>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</si>
  <si>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</si>
  <si>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Diagrama de secuencia agregar «Visualizar CdC»</t>
  </si>
  <si>
    <t>Codificar modulo de consulta</t>
  </si>
  <si>
    <t>Codificar JSP</t>
  </si>
  <si>
    <t>Diagrama de relacional de Base de datos</t>
  </si>
  <si>
    <t>Diagrama de componentes</t>
  </si>
  <si>
    <t>Ejecucion de pruebas de aceptación</t>
  </si>
  <si>
    <t>Refactoring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</si>
</sst>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3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6"/>
                <c:pt idx="0">
                  <c:v>555</c:v>
                </c:pt>
                <c:pt idx="1">
                  <c:v>466</c:v>
                </c:pt>
                <c:pt idx="2">
                  <c:v>377</c:v>
                </c:pt>
                <c:pt idx="3">
                  <c:v>288</c:v>
                </c:pt>
                <c:pt idx="4">
                  <c:v>199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54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51.071428571428569</c:v>
                </c:pt>
                <c:pt idx="2">
                  <c:v>47.142857142857146</c:v>
                </c:pt>
                <c:pt idx="3">
                  <c:v>43.214285714285715</c:v>
                </c:pt>
                <c:pt idx="4">
                  <c:v>39.285714285714285</c:v>
                </c:pt>
                <c:pt idx="5">
                  <c:v>35.357142857142861</c:v>
                </c:pt>
                <c:pt idx="6">
                  <c:v>31.428571428571431</c:v>
                </c:pt>
                <c:pt idx="7">
                  <c:v>27.5</c:v>
                </c:pt>
                <c:pt idx="8">
                  <c:v>23.571428571428573</c:v>
                </c:pt>
                <c:pt idx="9">
                  <c:v>19.642857142857146</c:v>
                </c:pt>
                <c:pt idx="10">
                  <c:v>15.714285714285715</c:v>
                </c:pt>
                <c:pt idx="11">
                  <c:v>11.785714285714285</c:v>
                </c:pt>
                <c:pt idx="12">
                  <c:v>7.8571428571428612</c:v>
                </c:pt>
                <c:pt idx="13">
                  <c:v>3.9285714285714306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A-4BEC-8575-4DAC97B910A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546100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5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G5" sqref="G5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110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0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120</v>
      </c>
      <c r="C15" s="47" t="s">
        <v>121</v>
      </c>
      <c r="D15" s="47" t="s">
        <v>122</v>
      </c>
      <c r="E15" s="47" t="s">
        <v>123</v>
      </c>
      <c r="F15" s="10" t="s">
        <v>124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119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119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0</v>
      </c>
      <c r="F18" s="4" t="s">
        <v>82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377</v>
      </c>
      <c r="F31" s="23"/>
      <c r="G31" s="52"/>
      <c r="H31" s="23"/>
    </row>
  </sheetData>
  <phoneticPr fontId="2" type="noConversion"/>
  <conditionalFormatting sqref="G4:H10 E31 E5:E10 A4:D10">
    <cfRule type="expression" dxfId="29" priority="1" stopIfTrue="1">
      <formula>$F4="Planned"</formula>
    </cfRule>
    <cfRule type="expression" dxfId="28" priority="2" stopIfTrue="1">
      <formula>$F4="Ongoing"</formula>
    </cfRule>
  </conditionalFormatting>
  <conditionalFormatting sqref="F4:F10 F16:F30">
    <cfRule type="expression" dxfId="27" priority="3" stopIfTrue="1">
      <formula>$F4="Planned"</formula>
    </cfRule>
    <cfRule type="expression" dxfId="26" priority="4" stopIfTrue="1">
      <formula>$F4="Ongoing"</formula>
    </cfRule>
    <cfRule type="cellIs" dxfId="25" priority="5" stopIfTrue="1" operator="equal">
      <formula>"Unplanned"</formula>
    </cfRule>
  </conditionalFormatting>
  <conditionalFormatting sqref="E4 G16:H30 A16:E30">
    <cfRule type="expression" dxfId="24" priority="6" stopIfTrue="1">
      <formula>OR($F4="Planned",$F4="Unplanned")</formula>
    </cfRule>
    <cfRule type="expression" dxfId="2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E16" sqref="E16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100</v>
      </c>
      <c r="B5" s="102" t="s">
        <v>108</v>
      </c>
      <c r="C5" s="34" t="s">
        <v>79</v>
      </c>
      <c r="D5" s="34">
        <v>55</v>
      </c>
      <c r="E5" s="34">
        <v>1</v>
      </c>
      <c r="F5" s="103" t="s">
        <v>115</v>
      </c>
    </row>
    <row r="6" spans="1:7" x14ac:dyDescent="0.25">
      <c r="A6" s="34" t="s">
        <v>101</v>
      </c>
      <c r="B6" s="102" t="s">
        <v>109</v>
      </c>
      <c r="C6" s="34" t="s">
        <v>19</v>
      </c>
      <c r="D6" s="34">
        <v>55</v>
      </c>
      <c r="F6" s="103" t="s">
        <v>116</v>
      </c>
    </row>
    <row r="7" spans="1:7" x14ac:dyDescent="0.25">
      <c r="A7" s="34" t="s">
        <v>102</v>
      </c>
      <c r="B7" s="102" t="s">
        <v>110</v>
      </c>
      <c r="C7" s="34" t="s">
        <v>79</v>
      </c>
      <c r="D7" s="34">
        <v>55</v>
      </c>
      <c r="E7" s="34">
        <v>2</v>
      </c>
      <c r="F7" s="103" t="s">
        <v>115</v>
      </c>
    </row>
    <row r="8" spans="1:7" x14ac:dyDescent="0.25">
      <c r="A8" s="34" t="s">
        <v>103</v>
      </c>
      <c r="B8" s="102" t="s">
        <v>111</v>
      </c>
      <c r="C8" s="34" t="s">
        <v>19</v>
      </c>
      <c r="D8" s="34">
        <v>55</v>
      </c>
      <c r="F8" s="103" t="s">
        <v>117</v>
      </c>
    </row>
    <row r="9" spans="1:7" x14ac:dyDescent="0.25">
      <c r="A9" s="34" t="s">
        <v>104</v>
      </c>
      <c r="B9" s="102" t="s">
        <v>118</v>
      </c>
      <c r="C9" s="34" t="s">
        <v>19</v>
      </c>
      <c r="D9" s="34">
        <v>34</v>
      </c>
      <c r="F9" s="103" t="s">
        <v>117</v>
      </c>
    </row>
    <row r="10" spans="1:7" ht="26.25" customHeight="1" x14ac:dyDescent="0.25">
      <c r="A10" s="34" t="s">
        <v>105</v>
      </c>
      <c r="B10" s="102" t="s">
        <v>112</v>
      </c>
      <c r="C10" s="34" t="s">
        <v>19</v>
      </c>
      <c r="D10" s="34">
        <v>89</v>
      </c>
      <c r="F10" s="103" t="s">
        <v>115</v>
      </c>
    </row>
    <row r="11" spans="1:7" ht="26.25" customHeight="1" x14ac:dyDescent="0.25">
      <c r="A11" s="34" t="s">
        <v>106</v>
      </c>
      <c r="B11" s="102" t="s">
        <v>113</v>
      </c>
      <c r="C11" s="34" t="s">
        <v>19</v>
      </c>
      <c r="D11" s="34">
        <v>89</v>
      </c>
      <c r="F11" s="103" t="s">
        <v>115</v>
      </c>
    </row>
    <row r="12" spans="1:7" x14ac:dyDescent="0.25">
      <c r="A12" s="34" t="s">
        <v>107</v>
      </c>
      <c r="B12" s="102" t="s">
        <v>114</v>
      </c>
      <c r="C12" s="34" t="s">
        <v>19</v>
      </c>
      <c r="D12" s="34">
        <v>55</v>
      </c>
      <c r="F12" s="103" t="s">
        <v>115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2" priority="1" stopIfTrue="1">
      <formula>$C4="Done"</formula>
    </cfRule>
    <cfRule type="expression" dxfId="21" priority="2" stopIfTrue="1">
      <formula>$C4="Ongoing"</formula>
    </cfRule>
    <cfRule type="expression" dxfId="20" priority="3" stopIfTrue="1">
      <formula>$C4="Removed"</formula>
    </cfRule>
  </conditionalFormatting>
  <conditionalFormatting sqref="G53">
    <cfRule type="expression" dxfId="19" priority="4" stopIfTrue="1">
      <formula>#REF!="Done"</formula>
    </cfRule>
    <cfRule type="expression" dxfId="18" priority="5" stopIfTrue="1">
      <formula>#REF!="Ongoing"</formula>
    </cfRule>
    <cfRule type="expression" dxfId="17" priority="6" stopIfTrue="1">
      <formula>#REF!="Removed"</formula>
    </cfRule>
  </conditionalFormatting>
  <conditionalFormatting sqref="G42:G43">
    <cfRule type="expression" dxfId="16" priority="7" stopIfTrue="1">
      <formula>#REF!="Done"</formula>
    </cfRule>
    <cfRule type="expression" dxfId="15" priority="8" stopIfTrue="1">
      <formula>#REF!="Ongoing"</formula>
    </cfRule>
    <cfRule type="expression" dxfId="14" priority="9" stopIfTrue="1">
      <formula>#REF!="Removed"</formula>
    </cfRule>
  </conditionalFormatting>
  <conditionalFormatting sqref="G22">
    <cfRule type="expression" dxfId="13" priority="10" stopIfTrue="1">
      <formula>#REF!="Done"</formula>
    </cfRule>
    <cfRule type="expression" dxfId="12" priority="11" stopIfTrue="1">
      <formula>#REF!="Ongoing"</formula>
    </cfRule>
    <cfRule type="expression" dxfId="11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D4" sqref="D4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4</v>
      </c>
    </row>
    <row r="4" spans="1:26" x14ac:dyDescent="0.25">
      <c r="A4" s="104" t="s">
        <v>40</v>
      </c>
      <c r="D4">
        <v>2</v>
      </c>
      <c r="E4" t="s">
        <v>41</v>
      </c>
      <c r="F4" t="s">
        <v>58</v>
      </c>
      <c r="G4" s="55">
        <f>IF(COUNT(D28:D33)=0,1,COUNT(D28:D33)+1)</f>
        <v>4</v>
      </c>
    </row>
    <row r="5" spans="1:26" ht="13" x14ac:dyDescent="0.3">
      <c r="F5" t="s">
        <v>42</v>
      </c>
      <c r="G5" s="55">
        <f>IF(G4&gt;D4,G4-D4,0)</f>
        <v>2</v>
      </c>
      <c r="Z5" s="38" t="s">
        <v>85</v>
      </c>
    </row>
    <row r="6" spans="1:26" ht="13" x14ac:dyDescent="0.3">
      <c r="A6" s="1" t="s">
        <v>72</v>
      </c>
      <c r="F6" t="s">
        <v>43</v>
      </c>
      <c r="G6" s="55">
        <f>TrendSprintCount-TrendOffset</f>
        <v>2</v>
      </c>
      <c r="Z6" s="38" t="s">
        <v>86</v>
      </c>
    </row>
    <row r="7" spans="1:26" ht="13" x14ac:dyDescent="0.3">
      <c r="A7" t="s">
        <v>46</v>
      </c>
      <c r="D7">
        <v>60</v>
      </c>
      <c r="Z7" s="38" t="s">
        <v>89</v>
      </c>
    </row>
    <row r="8" spans="1:26" ht="13" x14ac:dyDescent="0.3">
      <c r="A8" s="107">
        <f>D$4</f>
        <v>2</v>
      </c>
      <c r="B8" s="107"/>
      <c r="D8" s="58">
        <f ca="1">IF(D28="","",AVERAGE(OFFSET(D27,TrendOffset,0,SprintsInTrend,1)))</f>
        <v>72</v>
      </c>
      <c r="Z8" s="38" t="s">
        <v>90</v>
      </c>
    </row>
    <row r="9" spans="1:26" ht="13" x14ac:dyDescent="0.3">
      <c r="A9" t="s">
        <v>59</v>
      </c>
      <c r="D9" s="58">
        <f ca="1">IF(D28="","",AVERAGE(OFFSET(D27,1,0,SprintCount,1)))</f>
        <v>66.333333333333329</v>
      </c>
      <c r="F9" t="s">
        <v>51</v>
      </c>
      <c r="G9" s="55">
        <f ca="1">IF(M28="",1,COUNT(M28:M92))</f>
        <v>6</v>
      </c>
      <c r="Z9" s="38" t="s">
        <v>91</v>
      </c>
    </row>
    <row r="10" spans="1:26" ht="13" x14ac:dyDescent="0.3">
      <c r="A10" t="s">
        <v>48</v>
      </c>
      <c r="D10" s="58">
        <f ca="1">IF(D28="","",AVERAGE(LastEight))</f>
        <v>66.333333333333329</v>
      </c>
      <c r="Z10" s="38" t="s">
        <v>87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66.333333333333329</v>
      </c>
      <c r="Z11" s="38" t="s">
        <v>88</v>
      </c>
    </row>
    <row r="12" spans="1:26" ht="13" x14ac:dyDescent="0.3">
      <c r="A12" t="s">
        <v>24</v>
      </c>
      <c r="D12" s="58">
        <f ca="1">IF(M29="","",M28-M29)</f>
        <v>89</v>
      </c>
      <c r="Z12" s="38" t="s">
        <v>92</v>
      </c>
    </row>
    <row r="13" spans="1:26" ht="13" x14ac:dyDescent="0.3">
      <c r="F13" s="56" t="s">
        <v>52</v>
      </c>
      <c r="Z13" s="38" t="s">
        <v>93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19.629909152447269</v>
      </c>
    </row>
    <row r="18" spans="1:17" x14ac:dyDescent="0.25">
      <c r="A18" s="107">
        <f>D$4</f>
        <v>2</v>
      </c>
      <c r="B18" s="107"/>
      <c r="D18" s="59">
        <f ca="1">IF(D8="","",IF(LastRealized="",ROUNDUP(LastPlanned/D8,0)+SprintCount-1,ROUNDUP((LastPlanned-LastRealized)/D8+SprintCount,0)))</f>
        <v>7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8</v>
      </c>
      <c r="F19" t="s">
        <v>63</v>
      </c>
      <c r="G19">
        <f ca="1">LastPlanned</f>
        <v>288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8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8</v>
      </c>
    </row>
    <row r="22" spans="1:17" x14ac:dyDescent="0.25">
      <c r="A22" t="s">
        <v>24</v>
      </c>
      <c r="D22" s="59">
        <f ca="1">IF(COUNT(M28:M33)-1&gt;0,COUNT(M28:M33)-1,"")</f>
        <v>5</v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7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10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555</v>
      </c>
      <c r="M28" s="55">
        <f ca="1">L28</f>
        <v>555</v>
      </c>
      <c r="N28" s="55">
        <f t="shared" ref="N28:N33" ca="1" si="4">OFFSET($I$27,TrendSprintCount,0,1,1)</f>
        <v>0</v>
      </c>
      <c r="O28" s="66">
        <f t="shared" ref="O28:O33" ca="1" si="5">D$9</f>
        <v>66.333333333333329</v>
      </c>
      <c r="P28" s="66">
        <f t="shared" ref="P28:P33" ca="1" si="6">D$10</f>
        <v>66.333333333333329</v>
      </c>
      <c r="Q28" s="66">
        <f t="shared" ref="Q28:Q33" ca="1" si="7">D$11</f>
        <v>66.333333333333329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466</v>
      </c>
      <c r="M29" s="55">
        <f ca="1">IF(L29=L28,"",L29)</f>
        <v>466</v>
      </c>
      <c r="N29" s="55">
        <f t="shared" ca="1" si="4"/>
        <v>0</v>
      </c>
      <c r="O29" s="66">
        <f t="shared" ca="1" si="5"/>
        <v>66.333333333333329</v>
      </c>
      <c r="P29" s="66">
        <f t="shared" ca="1" si="6"/>
        <v>66.333333333333329</v>
      </c>
      <c r="Q29" s="66">
        <f t="shared" ca="1" si="7"/>
        <v>66.333333333333329</v>
      </c>
    </row>
    <row r="30" spans="1:17" x14ac:dyDescent="0.25">
      <c r="A30" s="57">
        <v>3</v>
      </c>
      <c r="B30" s="2">
        <f t="shared" si="8"/>
        <v>377</v>
      </c>
      <c r="C30" s="2">
        <v>89</v>
      </c>
      <c r="D30" s="2">
        <v>89</v>
      </c>
      <c r="E30" s="57">
        <f>IF(B30="","",IF(D29="",E29,B30+SUM(D$28:D29)))</f>
        <v>487</v>
      </c>
      <c r="F30" s="55">
        <f t="shared" si="9"/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377</v>
      </c>
      <c r="M30" s="55">
        <f t="shared" ref="M30:M33" ca="1" si="10">IF(L30=L29,"",L30)</f>
        <v>377</v>
      </c>
      <c r="N30" s="55">
        <f t="shared" ca="1" si="4"/>
        <v>0</v>
      </c>
      <c r="O30" s="66">
        <f t="shared" ca="1" si="5"/>
        <v>66.333333333333329</v>
      </c>
      <c r="P30" s="66">
        <f t="shared" ca="1" si="6"/>
        <v>66.333333333333329</v>
      </c>
      <c r="Q30" s="66">
        <f t="shared" ca="1" si="7"/>
        <v>66.333333333333329</v>
      </c>
    </row>
    <row r="31" spans="1:17" x14ac:dyDescent="0.25">
      <c r="A31" s="57">
        <v>4</v>
      </c>
      <c r="B31" s="2">
        <f t="shared" si="8"/>
        <v>288</v>
      </c>
      <c r="C31" s="2"/>
      <c r="D31" s="2"/>
      <c r="E31" s="57">
        <f>IF(B31="","",IF(D30="",E30,B31+SUM(D$28:D30)))</f>
        <v>487</v>
      </c>
      <c r="F31" s="55">
        <f t="shared" si="9"/>
        <v>288</v>
      </c>
      <c r="G31" s="55">
        <f t="shared" si="0"/>
        <v>288</v>
      </c>
      <c r="H31" s="55">
        <f t="shared" si="1"/>
        <v>0</v>
      </c>
      <c r="I31" s="55">
        <f>IF(B31="",IF(B30="","",IF(D30="","",F30-D30)),IF(AND(C30="",D30=""),"",IF(AND(D30="",C30&lt;&gt;""),IF(I30&gt;F30,I30-C30,F30-C30),B$28-B31-SUM(D$28:D30))))</f>
        <v>0</v>
      </c>
      <c r="K31">
        <f t="shared" si="2"/>
        <v>288</v>
      </c>
      <c r="L31" s="55">
        <f t="shared" ca="1" si="3"/>
        <v>288</v>
      </c>
      <c r="M31" s="55">
        <f t="shared" ca="1" si="10"/>
        <v>288</v>
      </c>
      <c r="N31" s="55">
        <f t="shared" ca="1" si="4"/>
        <v>0</v>
      </c>
      <c r="O31" s="66">
        <f t="shared" ca="1" si="5"/>
        <v>66.333333333333329</v>
      </c>
      <c r="P31" s="66">
        <f t="shared" ca="1" si="6"/>
        <v>66.333333333333329</v>
      </c>
      <c r="Q31" s="66">
        <f t="shared" ca="1" si="7"/>
        <v>66.333333333333329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199</v>
      </c>
      <c r="M32" s="55">
        <f t="shared" ca="1" si="10"/>
        <v>199</v>
      </c>
      <c r="N32" s="55">
        <f t="shared" ca="1" si="4"/>
        <v>0</v>
      </c>
      <c r="O32" s="66">
        <f t="shared" ca="1" si="5"/>
        <v>66.333333333333329</v>
      </c>
      <c r="P32" s="66">
        <f t="shared" ca="1" si="6"/>
        <v>66.333333333333329</v>
      </c>
      <c r="Q32" s="66">
        <f t="shared" ca="1" si="7"/>
        <v>66.333333333333329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110</v>
      </c>
      <c r="M33" s="55">
        <f t="shared" ca="1" si="10"/>
        <v>110</v>
      </c>
      <c r="N33" s="55">
        <f t="shared" ca="1" si="4"/>
        <v>0</v>
      </c>
      <c r="O33" s="66">
        <f t="shared" ca="1" si="5"/>
        <v>66.333333333333329</v>
      </c>
      <c r="P33" s="66">
        <f t="shared" ca="1" si="6"/>
        <v>66.333333333333329</v>
      </c>
      <c r="Q33" s="66">
        <f t="shared" ca="1" si="7"/>
        <v>66.333333333333329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0" priority="1" stopIfTrue="1">
      <formula>$D26="Done"</formula>
    </cfRule>
    <cfRule type="expression" dxfId="9" priority="2" stopIfTrue="1">
      <formula>$D26="Ongoing"</formula>
    </cfRule>
    <cfRule type="expression" dxfId="8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workbookViewId="0">
      <pane ySplit="14" topLeftCell="A15" activePane="bottomLeft" state="frozen"/>
      <selection pane="bottomLeft" activeCell="A23" sqref="A23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54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126</v>
      </c>
      <c r="B15" s="105" t="s">
        <v>100</v>
      </c>
      <c r="C15" s="104" t="s">
        <v>125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127</v>
      </c>
      <c r="B16" s="2" t="s">
        <v>100</v>
      </c>
      <c r="C16" s="104" t="s">
        <v>125</v>
      </c>
      <c r="D16" t="s">
        <v>79</v>
      </c>
      <c r="E16" s="2">
        <v>10</v>
      </c>
      <c r="F16" s="2">
        <v>9</v>
      </c>
      <c r="G16" s="2">
        <v>8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136</v>
      </c>
      <c r="B17" s="2" t="s">
        <v>100</v>
      </c>
      <c r="C17" s="104" t="s">
        <v>125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128</v>
      </c>
      <c r="B18" s="105" t="s">
        <v>100</v>
      </c>
      <c r="C18" s="104" t="s">
        <v>125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129</v>
      </c>
      <c r="B19" s="105" t="s">
        <v>100</v>
      </c>
      <c r="C19" s="104" t="s">
        <v>125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130</v>
      </c>
      <c r="B20" s="105" t="s">
        <v>100</v>
      </c>
      <c r="C20" s="104" t="s">
        <v>125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132</v>
      </c>
      <c r="B21" s="105" t="s">
        <v>100</v>
      </c>
      <c r="C21" s="104" t="s">
        <v>125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131</v>
      </c>
      <c r="B22" s="105" t="s">
        <v>100</v>
      </c>
      <c r="C22" s="104" t="s">
        <v>125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7" priority="1" stopIfTrue="1">
      <formula>$D15="Done"</formula>
    </cfRule>
    <cfRule type="expression" dxfId="6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6CC0A-73F4-4490-88B2-4BF206A31B94}">
  <sheetPr codeName="Sheet7"/>
  <dimension ref="A1:AD80"/>
  <sheetViews>
    <sheetView tabSelected="1" workbookViewId="0">
      <pane ySplit="14" topLeftCell="A15" activePane="bottomLeft" state="frozen"/>
      <selection pane="bottomLeft" activeCell="I23" sqref="I23"/>
    </sheetView>
  </sheetViews>
  <sheetFormatPr baseColWidth="10" defaultColWidth="9.1796875" defaultRowHeight="12.5" x14ac:dyDescent="0.25"/>
  <cols>
    <col min="1" max="1" width="47.08984375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55</v>
      </c>
      <c r="F10" s="72">
        <f ca="1">IF(AND(SUM(OFFSET(F14,1,0,TaskRows,1))=0),0,SUM(OFFSET(F14,1,0,TaskRows,1)))</f>
        <v>50</v>
      </c>
      <c r="G10" s="72">
        <f t="shared" ref="G10:AD10" ca="1" si="0">IF(AND(SUM(OFFSET(G14,1,0,TaskRows,1))=0),"",SUM(OFFSET(G14,1,0,TaskRows,1)))</f>
        <v>45</v>
      </c>
      <c r="H10" s="72">
        <f t="shared" ca="1" si="0"/>
        <v>40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>
        <f t="shared" ca="1" si="0"/>
        <v>30</v>
      </c>
      <c r="M10" s="72">
        <f t="shared" ca="1" si="0"/>
        <v>25</v>
      </c>
      <c r="N10" s="72">
        <f t="shared" ca="1" si="0"/>
        <v>20</v>
      </c>
      <c r="O10" s="72">
        <f t="shared" ca="1" si="0"/>
        <v>15</v>
      </c>
      <c r="P10" s="72">
        <f t="shared" ca="1" si="0"/>
        <v>10</v>
      </c>
      <c r="Q10" s="72">
        <f t="shared" ca="1" si="0"/>
        <v>5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9</v>
      </c>
      <c r="C11" t="s">
        <v>23</v>
      </c>
      <c r="D11" s="2">
        <f ca="1">IF(COUNTIF(F10:AD10,"&gt;0")=0,1,COUNTIF(F10:AD10,"&gt;0"))</f>
        <v>11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51.071428571428569</v>
      </c>
      <c r="H11" s="2">
        <f t="shared" ca="1" si="1"/>
        <v>47.142857142857146</v>
      </c>
      <c r="I11" s="2">
        <f t="shared" ca="1" si="1"/>
        <v>43.214285714285715</v>
      </c>
      <c r="J11" s="2">
        <f t="shared" ca="1" si="1"/>
        <v>39.285714285714285</v>
      </c>
      <c r="K11" s="2">
        <f t="shared" ca="1" si="1"/>
        <v>35.357142857142861</v>
      </c>
      <c r="L11" s="2">
        <f t="shared" ca="1" si="1"/>
        <v>31.428571428571431</v>
      </c>
      <c r="M11" s="2">
        <f t="shared" ca="1" si="1"/>
        <v>27.5</v>
      </c>
      <c r="N11" s="2">
        <f t="shared" ca="1" si="1"/>
        <v>23.571428571428573</v>
      </c>
      <c r="O11" s="2">
        <f t="shared" ca="1" si="1"/>
        <v>19.642857142857146</v>
      </c>
      <c r="P11" s="2">
        <f t="shared" ca="1" si="1"/>
        <v>15.714285714285715</v>
      </c>
      <c r="Q11" s="2">
        <f t="shared" ca="1" si="1"/>
        <v>11.785714285714285</v>
      </c>
      <c r="R11" s="2">
        <f t="shared" ca="1" si="1"/>
        <v>7.8571428571428612</v>
      </c>
      <c r="S11" s="2">
        <f t="shared" ca="1" si="1"/>
        <v>3.9285714285714306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11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ht="15" customHeight="1" x14ac:dyDescent="0.25">
      <c r="A15" s="102" t="s">
        <v>133</v>
      </c>
      <c r="B15" s="105" t="s">
        <v>101</v>
      </c>
      <c r="C15" s="104" t="s">
        <v>125</v>
      </c>
      <c r="D15" t="s">
        <v>79</v>
      </c>
      <c r="E15" s="34">
        <v>5</v>
      </c>
      <c r="F15" s="34">
        <v>0</v>
      </c>
      <c r="K15" s="70"/>
      <c r="L15" s="70"/>
      <c r="AC15" s="34" t="str">
        <f t="shared" ref="AC15:AD27" si="4">IF(OR(AC$14="",$E15=""),"",AB15)</f>
        <v/>
      </c>
      <c r="AD15" s="34" t="str">
        <f t="shared" si="4"/>
        <v/>
      </c>
    </row>
    <row r="16" spans="1:30" x14ac:dyDescent="0.25">
      <c r="A16" s="32" t="s">
        <v>128</v>
      </c>
      <c r="B16" s="34" t="s">
        <v>101</v>
      </c>
      <c r="C16" t="s">
        <v>125</v>
      </c>
      <c r="D16" t="s">
        <v>79</v>
      </c>
      <c r="E16" s="34">
        <v>4</v>
      </c>
      <c r="F16" s="34">
        <v>4</v>
      </c>
      <c r="G16" s="34">
        <v>0</v>
      </c>
      <c r="AC16" s="34" t="str">
        <f t="shared" si="4"/>
        <v/>
      </c>
      <c r="AD16" s="34" t="str">
        <f t="shared" si="4"/>
        <v/>
      </c>
    </row>
    <row r="17" spans="1:30" x14ac:dyDescent="0.25">
      <c r="A17" s="32" t="s">
        <v>127</v>
      </c>
      <c r="B17" s="34" t="s">
        <v>101</v>
      </c>
      <c r="C17" t="s">
        <v>125</v>
      </c>
      <c r="D17" t="s">
        <v>79</v>
      </c>
      <c r="E17" s="34">
        <v>6</v>
      </c>
      <c r="F17" s="34">
        <v>6</v>
      </c>
      <c r="G17" s="34">
        <v>5</v>
      </c>
      <c r="H17" s="34">
        <v>0</v>
      </c>
    </row>
    <row r="18" spans="1:30" x14ac:dyDescent="0.25">
      <c r="A18" s="102" t="s">
        <v>137</v>
      </c>
      <c r="B18" s="34" t="s">
        <v>101</v>
      </c>
      <c r="C18" t="s">
        <v>125</v>
      </c>
      <c r="D18" t="s">
        <v>79</v>
      </c>
      <c r="E18" s="34">
        <v>4</v>
      </c>
      <c r="F18" s="34">
        <v>4</v>
      </c>
      <c r="G18" s="34">
        <v>4</v>
      </c>
      <c r="H18" s="34">
        <v>4</v>
      </c>
      <c r="I18" s="34">
        <v>0</v>
      </c>
    </row>
    <row r="19" spans="1:30" x14ac:dyDescent="0.25">
      <c r="A19" s="32" t="s">
        <v>134</v>
      </c>
      <c r="B19" s="34" t="s">
        <v>101</v>
      </c>
      <c r="C19" t="s">
        <v>125</v>
      </c>
      <c r="D19" t="s">
        <v>79</v>
      </c>
      <c r="E19" s="34">
        <v>6</v>
      </c>
      <c r="F19" s="34">
        <v>6</v>
      </c>
      <c r="G19" s="34">
        <v>6</v>
      </c>
      <c r="H19" s="34">
        <v>6</v>
      </c>
      <c r="I19" s="34">
        <v>5</v>
      </c>
      <c r="J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32" t="s">
        <v>130</v>
      </c>
      <c r="B20" s="34" t="s">
        <v>101</v>
      </c>
      <c r="C20" t="s">
        <v>125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L20" s="34">
        <v>10</v>
      </c>
      <c r="M20" s="34">
        <v>5</v>
      </c>
      <c r="N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 t="s">
        <v>135</v>
      </c>
      <c r="B21" s="34" t="s">
        <v>101</v>
      </c>
      <c r="C21" t="s">
        <v>125</v>
      </c>
      <c r="D21" t="s">
        <v>79</v>
      </c>
      <c r="E21" s="34">
        <v>10</v>
      </c>
      <c r="F21" s="34">
        <v>10</v>
      </c>
      <c r="G21" s="34">
        <v>10</v>
      </c>
      <c r="H21" s="34">
        <v>10</v>
      </c>
      <c r="I21" s="34">
        <v>10</v>
      </c>
      <c r="J21" s="34">
        <v>10</v>
      </c>
      <c r="L21" s="34">
        <v>10</v>
      </c>
      <c r="M21" s="34">
        <v>10</v>
      </c>
      <c r="N21" s="34">
        <v>10</v>
      </c>
      <c r="O21" s="34">
        <v>5</v>
      </c>
      <c r="P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2" t="s">
        <v>138</v>
      </c>
      <c r="B22" s="34" t="s">
        <v>101</v>
      </c>
      <c r="C22" t="s">
        <v>125</v>
      </c>
      <c r="D22" t="s">
        <v>79</v>
      </c>
      <c r="E22" s="34">
        <v>5</v>
      </c>
      <c r="F22" s="34">
        <v>5</v>
      </c>
      <c r="G22" s="34">
        <v>5</v>
      </c>
      <c r="H22" s="34">
        <v>5</v>
      </c>
      <c r="I22" s="34">
        <v>5</v>
      </c>
      <c r="J22" s="34">
        <v>5</v>
      </c>
      <c r="L22" s="34">
        <v>5</v>
      </c>
      <c r="M22" s="34">
        <v>5</v>
      </c>
      <c r="N22" s="34">
        <v>5</v>
      </c>
      <c r="O22" s="34">
        <v>5</v>
      </c>
      <c r="P22" s="34">
        <v>5</v>
      </c>
      <c r="Q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 t="s">
        <v>139</v>
      </c>
      <c r="B23" s="34" t="s">
        <v>101</v>
      </c>
      <c r="C23" t="s">
        <v>125</v>
      </c>
      <c r="D23" t="s">
        <v>79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</row>
    <row r="29" spans="1:30" x14ac:dyDescent="0.25">
      <c r="A29" s="32"/>
      <c r="C29"/>
      <c r="AC29" s="34" t="str">
        <f t="shared" ref="AC29:AD44" si="5">IF(OR(AC$14="",$E29=""),"",AB29)</f>
        <v/>
      </c>
      <c r="AD29" s="34" t="str">
        <f t="shared" si="5"/>
        <v/>
      </c>
    </row>
    <row r="30" spans="1:30" x14ac:dyDescent="0.25">
      <c r="A30" s="32"/>
      <c r="C30"/>
      <c r="AC30" s="34" t="str">
        <f t="shared" si="5"/>
        <v/>
      </c>
      <c r="AD30" s="34" t="str">
        <f t="shared" si="5"/>
        <v/>
      </c>
    </row>
    <row r="31" spans="1:30" x14ac:dyDescent="0.25">
      <c r="A31" s="32"/>
      <c r="C31"/>
      <c r="AC31" s="34" t="str">
        <f t="shared" si="5"/>
        <v/>
      </c>
      <c r="AD31" s="34" t="str">
        <f t="shared" si="5"/>
        <v/>
      </c>
    </row>
    <row r="32" spans="1:30" x14ac:dyDescent="0.25">
      <c r="A32" s="32"/>
      <c r="C32"/>
      <c r="AC32" s="34" t="str">
        <f t="shared" si="5"/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D34" s="35" t="str">
        <f t="shared" ref="D34:D57" si="6">IF(A34&lt;&gt;"","Planned","")</f>
        <v/>
      </c>
      <c r="F34" s="34" t="str">
        <f t="shared" ref="F34:U56" si="7">IF(OR(F$14="",$E34=""),"",E34)</f>
        <v/>
      </c>
      <c r="AC34" s="34" t="str">
        <f t="shared" si="5"/>
        <v/>
      </c>
      <c r="AD34" s="34" t="str">
        <f t="shared" si="5"/>
        <v/>
      </c>
    </row>
    <row r="35" spans="1:30" x14ac:dyDescent="0.25">
      <c r="C35"/>
      <c r="D35" s="35" t="str">
        <f t="shared" si="6"/>
        <v/>
      </c>
      <c r="F35" s="34" t="str">
        <f t="shared" si="7"/>
        <v/>
      </c>
      <c r="AC35" s="34" t="str">
        <f t="shared" si="5"/>
        <v/>
      </c>
      <c r="AD35" s="34" t="str">
        <f t="shared" si="5"/>
        <v/>
      </c>
    </row>
    <row r="36" spans="1:30" x14ac:dyDescent="0.25">
      <c r="C36"/>
      <c r="D36" s="35" t="str">
        <f t="shared" si="6"/>
        <v/>
      </c>
      <c r="F36" s="34" t="str">
        <f t="shared" si="7"/>
        <v/>
      </c>
      <c r="AC36" s="34" t="str">
        <f t="shared" si="5"/>
        <v/>
      </c>
      <c r="AD36" s="34" t="str">
        <f t="shared" si="5"/>
        <v/>
      </c>
    </row>
    <row r="37" spans="1:30" x14ac:dyDescent="0.25">
      <c r="C37"/>
      <c r="D37" s="35" t="str">
        <f t="shared" si="6"/>
        <v/>
      </c>
      <c r="F37" s="34" t="str">
        <f t="shared" si="7"/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ref="AC45:AD56" si="8">IF(OR(AC$14="",$E45=""),"",AB45)</f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G55" s="34" t="str">
        <f t="shared" si="7"/>
        <v/>
      </c>
      <c r="H55" s="34" t="str">
        <f t="shared" si="7"/>
        <v/>
      </c>
      <c r="I55" s="34" t="str">
        <f t="shared" si="7"/>
        <v/>
      </c>
      <c r="J55" s="34" t="str">
        <f t="shared" si="7"/>
        <v/>
      </c>
      <c r="K55" s="34" t="str">
        <f t="shared" si="7"/>
        <v/>
      </c>
      <c r="L55" s="34" t="str">
        <f t="shared" si="7"/>
        <v/>
      </c>
      <c r="M55" s="34" t="str">
        <f t="shared" si="7"/>
        <v/>
      </c>
      <c r="N55" s="34" t="str">
        <f t="shared" si="7"/>
        <v/>
      </c>
      <c r="O55" s="34" t="str">
        <f t="shared" si="7"/>
        <v/>
      </c>
      <c r="P55" s="34" t="str">
        <f t="shared" si="7"/>
        <v/>
      </c>
      <c r="Q55" s="34" t="str">
        <f t="shared" si="7"/>
        <v/>
      </c>
      <c r="R55" s="34" t="str">
        <f t="shared" si="7"/>
        <v/>
      </c>
      <c r="S55" s="34" t="str">
        <f t="shared" si="7"/>
        <v/>
      </c>
      <c r="T55" s="34" t="str">
        <f t="shared" si="7"/>
        <v/>
      </c>
      <c r="U55" s="34" t="str">
        <f t="shared" si="7"/>
        <v/>
      </c>
      <c r="V55" s="34" t="str">
        <f t="shared" ref="V55:AB56" si="9">IF(OR(V$14="",$E55=""),"",U55)</f>
        <v/>
      </c>
      <c r="W55" s="34" t="str">
        <f t="shared" si="9"/>
        <v/>
      </c>
      <c r="X55" s="34" t="str">
        <f t="shared" si="9"/>
        <v/>
      </c>
      <c r="Y55" s="34" t="str">
        <f t="shared" si="9"/>
        <v/>
      </c>
      <c r="Z55" s="34" t="str">
        <f t="shared" si="9"/>
        <v/>
      </c>
      <c r="AA55" s="34" t="str">
        <f t="shared" si="9"/>
        <v/>
      </c>
      <c r="AB55" s="34" t="str">
        <f t="shared" si="9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G56" s="34" t="str">
        <f t="shared" si="7"/>
        <v/>
      </c>
      <c r="H56" s="34" t="str">
        <f t="shared" si="7"/>
        <v/>
      </c>
      <c r="I56" s="34" t="str">
        <f t="shared" si="7"/>
        <v/>
      </c>
      <c r="J56" s="34" t="str">
        <f t="shared" si="7"/>
        <v/>
      </c>
      <c r="K56" s="34" t="str">
        <f t="shared" si="7"/>
        <v/>
      </c>
      <c r="L56" s="34" t="str">
        <f t="shared" si="7"/>
        <v/>
      </c>
      <c r="M56" s="34" t="str">
        <f t="shared" si="7"/>
        <v/>
      </c>
      <c r="N56" s="34" t="str">
        <f t="shared" si="7"/>
        <v/>
      </c>
      <c r="O56" s="34" t="str">
        <f t="shared" si="7"/>
        <v/>
      </c>
      <c r="P56" s="34" t="str">
        <f t="shared" si="7"/>
        <v/>
      </c>
      <c r="Q56" s="34" t="str">
        <f t="shared" si="7"/>
        <v/>
      </c>
      <c r="R56" s="34" t="str">
        <f t="shared" si="7"/>
        <v/>
      </c>
      <c r="S56" s="34" t="str">
        <f t="shared" si="7"/>
        <v/>
      </c>
      <c r="T56" s="34" t="str">
        <f t="shared" si="7"/>
        <v/>
      </c>
      <c r="U56" s="34" t="str">
        <f t="shared" si="7"/>
        <v/>
      </c>
      <c r="V56" s="34" t="str">
        <f t="shared" si="9"/>
        <v/>
      </c>
      <c r="W56" s="34" t="str">
        <f t="shared" si="9"/>
        <v/>
      </c>
      <c r="X56" s="34" t="str">
        <f t="shared" si="9"/>
        <v/>
      </c>
      <c r="Y56" s="34" t="str">
        <f t="shared" si="9"/>
        <v/>
      </c>
      <c r="Z56" s="34" t="str">
        <f t="shared" si="9"/>
        <v/>
      </c>
      <c r="AA56" s="34" t="str">
        <f t="shared" si="9"/>
        <v/>
      </c>
      <c r="AB56" s="34" t="str">
        <f t="shared" si="9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</row>
    <row r="58" spans="3:30" x14ac:dyDescent="0.25">
      <c r="C58"/>
    </row>
    <row r="59" spans="3:30" x14ac:dyDescent="0.25">
      <c r="C59"/>
    </row>
    <row r="60" spans="3:30" x14ac:dyDescent="0.25">
      <c r="C60"/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conditionalFormatting sqref="A15:AD51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57" xr:uid="{662F4B46-066F-43E9-A510-23838E5A87F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zoomScale="70" zoomScaleNormal="70" workbookViewId="0"/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95</v>
      </c>
      <c r="B1" s="100" t="s">
        <v>100</v>
      </c>
      <c r="C1" s="85" t="s">
        <v>96</v>
      </c>
      <c r="D1" s="86" t="s">
        <v>108</v>
      </c>
      <c r="E1" s="86"/>
      <c r="F1" s="87"/>
    </row>
    <row r="2" spans="1:6" x14ac:dyDescent="0.25">
      <c r="A2" s="88" t="s">
        <v>97</v>
      </c>
      <c r="B2" s="81" t="s">
        <v>80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94</v>
      </c>
      <c r="B6" s="101">
        <v>5</v>
      </c>
      <c r="C6" s="96" t="s">
        <v>99</v>
      </c>
      <c r="D6" s="95"/>
      <c r="E6" s="96" t="s">
        <v>98</v>
      </c>
      <c r="F6" s="97"/>
    </row>
    <row r="8" spans="1:6" ht="13" thickBot="1" x14ac:dyDescent="0.3"/>
    <row r="9" spans="1:6" ht="13" x14ac:dyDescent="0.25">
      <c r="A9" s="84" t="s">
        <v>95</v>
      </c>
      <c r="B9" s="100" t="s">
        <v>100</v>
      </c>
      <c r="C9" s="85" t="s">
        <v>96</v>
      </c>
      <c r="D9" s="86" t="s">
        <v>108</v>
      </c>
      <c r="E9" s="86"/>
      <c r="F9" s="87"/>
    </row>
    <row r="10" spans="1:6" x14ac:dyDescent="0.25">
      <c r="A10" s="88" t="s">
        <v>97</v>
      </c>
      <c r="B10" s="81" t="s">
        <v>81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94</v>
      </c>
      <c r="B14" s="101">
        <v>7</v>
      </c>
      <c r="C14" s="96" t="s">
        <v>99</v>
      </c>
      <c r="D14" s="95"/>
      <c r="E14" s="96" t="s">
        <v>98</v>
      </c>
      <c r="F14" s="97"/>
    </row>
    <row r="16" spans="1:6" ht="13" thickBot="1" x14ac:dyDescent="0.3"/>
    <row r="17" spans="1:6" ht="13" x14ac:dyDescent="0.25">
      <c r="A17" s="84" t="s">
        <v>95</v>
      </c>
      <c r="B17" s="100" t="s">
        <v>100</v>
      </c>
      <c r="C17" s="85" t="s">
        <v>96</v>
      </c>
      <c r="D17" s="86" t="s">
        <v>108</v>
      </c>
      <c r="E17" s="86"/>
      <c r="F17" s="87"/>
    </row>
    <row r="18" spans="1:6" x14ac:dyDescent="0.25">
      <c r="A18" s="88" t="s">
        <v>97</v>
      </c>
      <c r="B18" s="81" t="s">
        <v>83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e">
        <f>CONCATENATE("Responsible Person: ",'Sp1'!#REF!)</f>
        <v>#REF!</v>
      </c>
      <c r="B21" s="80"/>
      <c r="C21" s="80"/>
      <c r="D21" s="80"/>
      <c r="E21" s="80"/>
      <c r="F21" s="99"/>
    </row>
    <row r="22" spans="1:6" ht="25.5" thickBot="1" x14ac:dyDescent="0.3">
      <c r="A22" s="94" t="s">
        <v>94</v>
      </c>
      <c r="B22" s="101">
        <v>12</v>
      </c>
      <c r="C22" s="96" t="s">
        <v>99</v>
      </c>
      <c r="D22" s="95"/>
      <c r="E22" s="96" t="s">
        <v>98</v>
      </c>
      <c r="F22" s="97"/>
    </row>
    <row r="24" spans="1:6" ht="13" thickBot="1" x14ac:dyDescent="0.3"/>
    <row r="25" spans="1:6" ht="13" x14ac:dyDescent="0.25">
      <c r="A25" s="84" t="s">
        <v>95</v>
      </c>
      <c r="B25" s="100" t="s">
        <v>100</v>
      </c>
      <c r="C25" s="85" t="s">
        <v>96</v>
      </c>
      <c r="D25" s="86" t="s">
        <v>108</v>
      </c>
      <c r="E25" s="86"/>
      <c r="F25" s="87"/>
    </row>
    <row r="26" spans="1:6" x14ac:dyDescent="0.25">
      <c r="A26" s="88" t="s">
        <v>97</v>
      </c>
      <c r="B26" s="81" t="s">
        <v>84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",'Sp1'!C17)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94</v>
      </c>
      <c r="B30" s="101">
        <v>9</v>
      </c>
      <c r="C30" s="96" t="s">
        <v>99</v>
      </c>
      <c r="D30" s="95"/>
      <c r="E30" s="96" t="s">
        <v>98</v>
      </c>
      <c r="F3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33</vt:i4>
      </vt:variant>
    </vt:vector>
  </HeadingPairs>
  <TitlesOfParts>
    <vt:vector size="40" baseType="lpstr">
      <vt:lpstr>Release Plan</vt:lpstr>
      <vt:lpstr>Product Backlog</vt:lpstr>
      <vt:lpstr>PB Burndown</vt:lpstr>
      <vt:lpstr>Sp1</vt:lpstr>
      <vt:lpstr>Sp2</vt:lpstr>
      <vt:lpstr>Sprint Sheet Template</vt:lpstr>
      <vt:lpstr>Task Slips</vt:lpstr>
      <vt:lpstr>'Product Backlog'!Área_de_impresión</vt:lpstr>
      <vt:lpstr>'Sp1'!DoneDays</vt:lpstr>
      <vt:lpstr>'Sp2'!DoneDays</vt:lpstr>
      <vt:lpstr>'Sprint Sheet Template'!DoneDays</vt:lpstr>
      <vt:lpstr>'Sp1'!ImplementationDays</vt:lpstr>
      <vt:lpstr>'Sp2'!ImplementationDays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SprintTasks</vt:lpstr>
      <vt:lpstr>Status</vt:lpstr>
      <vt:lpstr>StoryName</vt:lpstr>
      <vt:lpstr>'Sp1'!TaskRows</vt:lpstr>
      <vt:lpstr>'Sp2'!TaskRows</vt:lpstr>
      <vt:lpstr>'Sprint Sheet Template'!TaskRows</vt:lpstr>
      <vt:lpstr>'Sp1'!TaskStatus</vt:lpstr>
      <vt:lpstr>'Sp2'!TaskStatus</vt:lpstr>
      <vt:lpstr>TaskStatus</vt:lpstr>
      <vt:lpstr>'Sp1'!TaskStoryID</vt:lpstr>
      <vt:lpstr>'Sp2'!TaskStoryID</vt:lpstr>
      <vt:lpstr>TaskStoryID</vt:lpstr>
      <vt:lpstr>'Sp1'!TotalEffort</vt:lpstr>
      <vt:lpstr>'Sp2'!TotalEffort</vt:lpstr>
      <vt:lpstr>'Sprint Sheet Template'!TotalEffort</vt:lpstr>
      <vt:lpstr>'Sp1'!TrendDays</vt:lpstr>
      <vt:lpstr>'Sp2'!TrendDays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2018-05-22T22:32:30Z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