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ce\Documents\GitHub\OF0348-Docs\"/>
    </mc:Choice>
  </mc:AlternateContent>
  <xr:revisionPtr revIDLastSave="0" documentId="13_ncr:1_{EA467475-9AD0-4049-B5F4-AE89689FCF3B}" xr6:coauthVersionLast="33" xr6:coauthVersionMax="33" xr10:uidLastSave="{00000000-0000-0000-0000-000000000000}"/>
  <bookViews>
    <workbookView xWindow="2780" yWindow="4280" windowWidth="16420" windowHeight="2680" tabRatio="576" firstSheet="1" activeTab="4" xr2:uid="{00000000-000D-0000-FFFF-FFFF00000000}"/>
  </bookViews>
  <sheets>
    <sheet name="Release Plan" sheetId="7" r:id="rId1"/>
    <sheet name="Product Backlog" sheetId="8" r:id="rId2"/>
    <sheet name="PB Burndown" sheetId="20" r:id="rId3"/>
    <sheet name="Sp1" sheetId="19" r:id="rId4"/>
    <sheet name="Sp2" sheetId="22" r:id="rId5"/>
    <sheet name="Sprint Sheet Template" sheetId="16" r:id="rId6"/>
    <sheet name="Task Slips" sheetId="21" r:id="rId7"/>
  </sheets>
  <definedNames>
    <definedName name="_xlnm.Print_Area" localSheetId="1">'Product Backlog'!$A:$G</definedName>
    <definedName name="_xlnm.Print_Area" localSheetId="6">'Task Slips'!#REF!</definedName>
    <definedName name="AverageSpeedLastEight">OFFSET('PB Burndown'!$P$27,1,0,'PB Burndown'!$G$3,1)</definedName>
    <definedName name="AverageSpeedRealized">OFFSET('PB Burndown'!$O$27,1,0,'PB Burndown'!$G$3,1)</definedName>
    <definedName name="AverageSpeedWorstThree">OFFSET('PB Burndown'!$Q$27,1,0,'PB Burndown'!$G$3,1)</definedName>
    <definedName name="ColBottomCurrentScope">OFFSET('PB Burndown'!$I$27,1,0,'PB Burndown'!$G$3,1)</definedName>
    <definedName name="ColTopRemainingWork">OFFSET('PB Burndown'!$F$27,1,0,'PB Burndown'!$G$3,1)</definedName>
    <definedName name="DoneDays" localSheetId="3">'Sp1'!$D$11</definedName>
    <definedName name="DoneDays" localSheetId="4">'Sp2'!$D$11</definedName>
    <definedName name="DoneDays" localSheetId="5">'Sprint Sheet Template'!$D$11</definedName>
    <definedName name="DoneDays">#REF!</definedName>
    <definedName name="DoneDaysSp2">#REF!</definedName>
    <definedName name="ImplementationDays" localSheetId="3">'Sp1'!$B$9</definedName>
    <definedName name="ImplementationDays" localSheetId="4">'Sp2'!$B$9</definedName>
    <definedName name="ImplementationDays" localSheetId="5">'Sprint Sheet Template'!$B$9</definedName>
    <definedName name="ImplementationDays">#REF!</definedName>
    <definedName name="ImplementationDaysSp2">#REF!</definedName>
    <definedName name="LastEight">IF('PB Burndown'!$G$4&gt;8,OFFSET('PB Burndown'!$D$27,'PB Burndown'!$G$4-7,0,8,1),OFFSET('PB Burndown'!$D$27,1,0,'PB Burndown'!$G$4-1,1))</definedName>
    <definedName name="LastPlanned">IF(OFFSET('PB Burndown'!$B$27,1,0,1,1)="",1,OFFSET('PB Burndown'!$B$27,'PB Burndown'!$G$3,0,1,1))</definedName>
    <definedName name="LastRealized">IF(OFFSET('PB Burndown'!$D$27,1,0,1,1)="",1,OFFSET('PB Burndown'!$D$27,'PB Burndown'!$G$3,0,1,1))</definedName>
    <definedName name="PBCurrentBottom">OFFSET('PB Burndown'!$N$27,1,0,'PB Burndown'!$G$9,1)</definedName>
    <definedName name="PBTrend">OFFSET('PB Burndown'!$M$27,1,0,'PB Burndown'!$G$9,1)</definedName>
    <definedName name="PlannedSpeed">OFFSET('PB Burndown'!$C$27,1,0,'PB Burndown'!$G$3,1)</definedName>
    <definedName name="ProductBacklog">'Product Backlog'!$A$4:$G$163</definedName>
    <definedName name="RealizedSpeed">OFFSET('PB Burndown'!$D$27,1,0,'PB Burndown'!$G$3,1)</definedName>
    <definedName name="RealValues" localSheetId="3">OFFSET('Sp1'!$F$10,0,0,1,'Sp1'!DoneDays)</definedName>
    <definedName name="RealValues" localSheetId="4">OFFSET('Sp2'!$F$10,0,0,1,'Sp2'!DoneDays)</definedName>
    <definedName name="RealValues" localSheetId="5">OFFSET('Sprint Sheet Template'!$F$10,0,0,1,'Sprint Sheet Template'!DoneDays)</definedName>
    <definedName name="Sprint">'Product Backlog'!$E$5:$E$163</definedName>
    <definedName name="SprintCount">'PB Burndown'!$G$3</definedName>
    <definedName name="SprintsInTrend">'PB Burndown'!$G$6</definedName>
    <definedName name="SprintTasks" localSheetId="3">'Sp1'!$A$14:$AD$62</definedName>
    <definedName name="SprintTasks" localSheetId="4">'Sp2'!$A$14:$AD$56</definedName>
    <definedName name="SprintTasks">'Sprint Sheet Template'!$A$14:$AD$63</definedName>
    <definedName name="Status">'Product Backlog'!$C$5:$C$163</definedName>
    <definedName name="StoryName">'Product Backlog'!$B$5:$B$163</definedName>
    <definedName name="TaskRows" localSheetId="3">'Sp1'!$B$11</definedName>
    <definedName name="TaskRows" localSheetId="4">'Sp2'!$B$11</definedName>
    <definedName name="TaskRows" localSheetId="5">'Sprint Sheet Template'!$B$11</definedName>
    <definedName name="TaskRows">#REF!</definedName>
    <definedName name="TaskRowSp2">#REF!</definedName>
    <definedName name="TaskStatus" localSheetId="3">'Sp1'!$D$14:$D$57</definedName>
    <definedName name="TaskStatus" localSheetId="4">'Sp2'!$D$14:$D$51</definedName>
    <definedName name="TaskStatus">'Sprint Sheet Template'!$D$14:$D$58</definedName>
    <definedName name="TaskStoryID" localSheetId="3">'Sp1'!$B$14:$B$52</definedName>
    <definedName name="TaskStoryID" localSheetId="4">'Sp2'!$B$14:$B$46</definedName>
    <definedName name="TaskStoryID">'Sprint Sheet Template'!$B$14:$B$53</definedName>
    <definedName name="TotalEffort" localSheetId="3">'Sp1'!$E$10</definedName>
    <definedName name="TotalEffort" localSheetId="4">'Sp2'!$E$10</definedName>
    <definedName name="TotalEffort" localSheetId="5">'Sprint Sheet Template'!$E$10</definedName>
    <definedName name="TotalEffort">#REF!</definedName>
    <definedName name="TotalEffortSp2">#REF!</definedName>
    <definedName name="TrendDays" localSheetId="3">'Sp1'!$D$13</definedName>
    <definedName name="TrendDays" localSheetId="4">'Sp2'!$D$13</definedName>
    <definedName name="TrendDays">'Sprint Sheet Template'!$D$13</definedName>
    <definedName name="TrendOffset">'PB Burndown'!$G$5</definedName>
    <definedName name="TrendSprintCount">'PB Burndown'!$G$4</definedName>
  </definedNames>
  <calcPr calcId="179017"/>
</workbook>
</file>

<file path=xl/calcChain.xml><?xml version="1.0" encoding="utf-8"?>
<calcChain xmlns="http://schemas.openxmlformats.org/spreadsheetml/2006/main">
  <c r="D57" i="22" l="1"/>
  <c r="F56" i="22"/>
  <c r="D56" i="22"/>
  <c r="F55" i="22"/>
  <c r="D55" i="22"/>
  <c r="F54" i="22"/>
  <c r="D54" i="22"/>
  <c r="F53" i="22"/>
  <c r="D53" i="22"/>
  <c r="F52" i="22"/>
  <c r="D52" i="22"/>
  <c r="F51" i="22"/>
  <c r="D51" i="22"/>
  <c r="F50" i="22"/>
  <c r="D50" i="22"/>
  <c r="F49" i="22"/>
  <c r="D49" i="22"/>
  <c r="F48" i="22"/>
  <c r="D48" i="22"/>
  <c r="F47" i="22"/>
  <c r="D47" i="22"/>
  <c r="F46" i="22"/>
  <c r="D46" i="22"/>
  <c r="F45" i="22"/>
  <c r="D45" i="22"/>
  <c r="F44" i="22"/>
  <c r="D44" i="22"/>
  <c r="F43" i="22"/>
  <c r="D43" i="22"/>
  <c r="F42" i="22"/>
  <c r="D42" i="22"/>
  <c r="F41" i="22"/>
  <c r="D41" i="22"/>
  <c r="F40" i="22"/>
  <c r="D40" i="22"/>
  <c r="F39" i="22"/>
  <c r="D39" i="22"/>
  <c r="F38" i="22"/>
  <c r="D38" i="22"/>
  <c r="F37" i="22"/>
  <c r="D37" i="22"/>
  <c r="F36" i="22"/>
  <c r="D36" i="22"/>
  <c r="F35" i="22"/>
  <c r="D35" i="22"/>
  <c r="F34" i="22"/>
  <c r="D34" i="22"/>
  <c r="H14" i="22"/>
  <c r="H55" i="22" s="1"/>
  <c r="G14" i="22"/>
  <c r="G56" i="22" s="1"/>
  <c r="B11" i="22"/>
  <c r="Z10" i="22" s="1"/>
  <c r="I10" i="22" l="1"/>
  <c r="Y10" i="22"/>
  <c r="K10" i="22"/>
  <c r="AA10" i="22"/>
  <c r="Q10" i="22"/>
  <c r="E10" i="22"/>
  <c r="F11" i="22" s="1"/>
  <c r="S10" i="22"/>
  <c r="M10" i="22"/>
  <c r="U10" i="22"/>
  <c r="G10" i="22"/>
  <c r="O10" i="22"/>
  <c r="W10" i="22"/>
  <c r="H10" i="22"/>
  <c r="L10" i="22"/>
  <c r="P10" i="22"/>
  <c r="T10" i="22"/>
  <c r="X10" i="22"/>
  <c r="AB10" i="22"/>
  <c r="F10" i="22"/>
  <c r="J10" i="22"/>
  <c r="N10" i="22"/>
  <c r="R10" i="22"/>
  <c r="V10" i="22"/>
  <c r="H56" i="22"/>
  <c r="I14" i="22"/>
  <c r="G55" i="22"/>
  <c r="E18" i="7"/>
  <c r="D15" i="20"/>
  <c r="A29" i="21"/>
  <c r="A21" i="21"/>
  <c r="A13" i="21"/>
  <c r="A5" i="21"/>
  <c r="D15" i="16"/>
  <c r="C28" i="20"/>
  <c r="H11" i="22" l="1"/>
  <c r="G11" i="22"/>
  <c r="I55" i="22"/>
  <c r="J14" i="22"/>
  <c r="I11" i="22"/>
  <c r="I56" i="22"/>
  <c r="B17" i="7"/>
  <c r="B18" i="7" s="1"/>
  <c r="G4" i="20"/>
  <c r="D10" i="20" s="1"/>
  <c r="D11" i="20" s="1"/>
  <c r="B28" i="20"/>
  <c r="F28" i="20" s="1"/>
  <c r="E16" i="7"/>
  <c r="E4" i="7" s="1"/>
  <c r="E17" i="7"/>
  <c r="E19" i="7"/>
  <c r="E20" i="7"/>
  <c r="E5" i="7" s="1"/>
  <c r="D16" i="7"/>
  <c r="E21" i="7"/>
  <c r="G14" i="19"/>
  <c r="H14" i="19" s="1"/>
  <c r="D17" i="7"/>
  <c r="F19" i="7"/>
  <c r="F20" i="7" s="1"/>
  <c r="F21" i="7" s="1"/>
  <c r="F22" i="7" s="1"/>
  <c r="F23" i="7" s="1"/>
  <c r="F24" i="7" s="1"/>
  <c r="F25" i="7" s="1"/>
  <c r="F26" i="7" s="1"/>
  <c r="F27" i="7" s="1"/>
  <c r="F28" i="7" s="1"/>
  <c r="F29" i="7" s="1"/>
  <c r="F30" i="7" s="1"/>
  <c r="B4" i="7"/>
  <c r="G17" i="20"/>
  <c r="A18" i="20"/>
  <c r="A8" i="20"/>
  <c r="D17" i="20"/>
  <c r="D16" i="20"/>
  <c r="E28" i="20"/>
  <c r="H28" i="20"/>
  <c r="E31" i="7"/>
  <c r="B11" i="19"/>
  <c r="E10" i="19" s="1"/>
  <c r="D40" i="19"/>
  <c r="F40" i="19"/>
  <c r="D41" i="19"/>
  <c r="F41" i="19"/>
  <c r="D42" i="19"/>
  <c r="F42" i="19"/>
  <c r="D43" i="19"/>
  <c r="F43" i="19"/>
  <c r="D44" i="19"/>
  <c r="F44" i="19"/>
  <c r="D45" i="19"/>
  <c r="F45" i="19"/>
  <c r="D46" i="19"/>
  <c r="F46" i="19"/>
  <c r="D47" i="19"/>
  <c r="F47" i="19"/>
  <c r="D48" i="19"/>
  <c r="F48" i="19"/>
  <c r="D49" i="19"/>
  <c r="F49" i="19"/>
  <c r="D50" i="19"/>
  <c r="F50" i="19"/>
  <c r="D51" i="19"/>
  <c r="F51" i="19"/>
  <c r="D52" i="19"/>
  <c r="F52" i="19"/>
  <c r="D53" i="19"/>
  <c r="F53" i="19"/>
  <c r="D54" i="19"/>
  <c r="F54" i="19"/>
  <c r="D55" i="19"/>
  <c r="F55" i="19"/>
  <c r="D56" i="19"/>
  <c r="F56" i="19"/>
  <c r="D57" i="19"/>
  <c r="F57" i="19"/>
  <c r="D58" i="19"/>
  <c r="F58" i="19"/>
  <c r="D59" i="19"/>
  <c r="F59" i="19"/>
  <c r="D60" i="19"/>
  <c r="F60" i="19"/>
  <c r="D61" i="19"/>
  <c r="F61" i="19"/>
  <c r="D62" i="19"/>
  <c r="F62" i="19"/>
  <c r="D63" i="19"/>
  <c r="B11" i="16"/>
  <c r="F15" i="16"/>
  <c r="F16" i="16"/>
  <c r="F17" i="16"/>
  <c r="F18" i="16"/>
  <c r="F10" i="16"/>
  <c r="E10" i="7"/>
  <c r="E9" i="7"/>
  <c r="E8" i="7"/>
  <c r="E7" i="7"/>
  <c r="E6" i="7"/>
  <c r="D4" i="7"/>
  <c r="B5" i="7"/>
  <c r="C6" i="7"/>
  <c r="D6" i="7" s="1"/>
  <c r="C7" i="7"/>
  <c r="D7" i="7" s="1"/>
  <c r="C8" i="7"/>
  <c r="D8" i="7" s="1"/>
  <c r="C9" i="7"/>
  <c r="D9" i="7" s="1"/>
  <c r="C10" i="7"/>
  <c r="D10" i="7" s="1"/>
  <c r="G14" i="16"/>
  <c r="H14" i="16"/>
  <c r="AD10" i="16"/>
  <c r="AC10" i="16"/>
  <c r="AB10" i="16"/>
  <c r="AA10" i="16"/>
  <c r="Z10" i="16"/>
  <c r="Y10" i="16"/>
  <c r="X10" i="16"/>
  <c r="W10" i="16"/>
  <c r="V10" i="16"/>
  <c r="U10" i="16"/>
  <c r="T10" i="16"/>
  <c r="S10" i="16"/>
  <c r="R10" i="16"/>
  <c r="Q10" i="16"/>
  <c r="P10" i="16"/>
  <c r="O10" i="16"/>
  <c r="N10" i="16"/>
  <c r="M10" i="16"/>
  <c r="L10" i="16"/>
  <c r="K10" i="16"/>
  <c r="J10" i="16"/>
  <c r="I10" i="16"/>
  <c r="H10" i="16"/>
  <c r="G10" i="16"/>
  <c r="E10" i="16"/>
  <c r="F11" i="16" s="1"/>
  <c r="D16" i="16"/>
  <c r="D17" i="16"/>
  <c r="D18" i="16"/>
  <c r="D19" i="16"/>
  <c r="F19" i="16"/>
  <c r="D20" i="16"/>
  <c r="F20" i="16"/>
  <c r="D21" i="16"/>
  <c r="F21" i="16"/>
  <c r="D22" i="16"/>
  <c r="F22" i="16"/>
  <c r="D23" i="16"/>
  <c r="F23" i="16"/>
  <c r="D24" i="16"/>
  <c r="F24" i="16"/>
  <c r="D25" i="16"/>
  <c r="F25" i="16"/>
  <c r="D26" i="16"/>
  <c r="F26" i="16"/>
  <c r="D27" i="16"/>
  <c r="F27" i="16"/>
  <c r="D28" i="16"/>
  <c r="F28" i="16"/>
  <c r="D29" i="16"/>
  <c r="F29" i="16"/>
  <c r="D30" i="16"/>
  <c r="F30" i="16"/>
  <c r="D31" i="16"/>
  <c r="F31" i="16"/>
  <c r="D32" i="16"/>
  <c r="F32" i="16"/>
  <c r="D33" i="16"/>
  <c r="F33" i="16"/>
  <c r="D34" i="16"/>
  <c r="F34" i="16"/>
  <c r="D35" i="16"/>
  <c r="F35" i="16"/>
  <c r="D36" i="16"/>
  <c r="F36" i="16"/>
  <c r="D37" i="16"/>
  <c r="F37" i="16"/>
  <c r="D38" i="16"/>
  <c r="F38" i="16"/>
  <c r="D39" i="16"/>
  <c r="F39" i="16"/>
  <c r="D40" i="16"/>
  <c r="F40" i="16"/>
  <c r="D41" i="16"/>
  <c r="F41" i="16"/>
  <c r="D42" i="16"/>
  <c r="F42" i="16"/>
  <c r="D43" i="16"/>
  <c r="F43" i="16"/>
  <c r="D44" i="16"/>
  <c r="F44" i="16"/>
  <c r="D45" i="16"/>
  <c r="F45" i="16"/>
  <c r="D46" i="16"/>
  <c r="F46" i="16"/>
  <c r="D47" i="16"/>
  <c r="F47" i="16"/>
  <c r="D48" i="16"/>
  <c r="F48" i="16"/>
  <c r="D49" i="16"/>
  <c r="F49" i="16"/>
  <c r="D50" i="16"/>
  <c r="F50" i="16"/>
  <c r="D51" i="16"/>
  <c r="F51" i="16"/>
  <c r="D52" i="16"/>
  <c r="F52" i="16"/>
  <c r="D53" i="16"/>
  <c r="F53" i="16"/>
  <c r="D54" i="16"/>
  <c r="F54" i="16"/>
  <c r="D55" i="16"/>
  <c r="F55" i="16"/>
  <c r="D56" i="16"/>
  <c r="F56" i="16"/>
  <c r="D57" i="16"/>
  <c r="F57" i="16"/>
  <c r="D58" i="16"/>
  <c r="F58" i="16"/>
  <c r="G58" i="16"/>
  <c r="D59" i="16"/>
  <c r="F59" i="16"/>
  <c r="G59" i="16"/>
  <c r="D64" i="16"/>
  <c r="H59" i="16"/>
  <c r="I14" i="16"/>
  <c r="H58" i="16"/>
  <c r="I58" i="16"/>
  <c r="I59" i="16"/>
  <c r="J14" i="16"/>
  <c r="K14" i="16"/>
  <c r="J58" i="16"/>
  <c r="J59" i="16"/>
  <c r="K11" i="16"/>
  <c r="K59" i="16"/>
  <c r="L14" i="16"/>
  <c r="K58" i="16"/>
  <c r="L11" i="16"/>
  <c r="L59" i="16"/>
  <c r="M14" i="16"/>
  <c r="L58" i="16"/>
  <c r="M58" i="16"/>
  <c r="M11" i="16"/>
  <c r="M59" i="16"/>
  <c r="N14" i="16"/>
  <c r="O14" i="16"/>
  <c r="N58" i="16"/>
  <c r="N11" i="16"/>
  <c r="N59" i="16"/>
  <c r="O11" i="16"/>
  <c r="O59" i="16"/>
  <c r="P14" i="16"/>
  <c r="O58" i="16"/>
  <c r="P11" i="16"/>
  <c r="P59" i="16"/>
  <c r="Q14" i="16"/>
  <c r="P58" i="16"/>
  <c r="Q58" i="16"/>
  <c r="Q11" i="16"/>
  <c r="Q59" i="16"/>
  <c r="R14" i="16"/>
  <c r="S14" i="16"/>
  <c r="R58" i="16"/>
  <c r="R59" i="16"/>
  <c r="R11" i="16"/>
  <c r="S11" i="16"/>
  <c r="S59" i="16"/>
  <c r="T14" i="16"/>
  <c r="S58" i="16"/>
  <c r="T11" i="16"/>
  <c r="T59" i="16"/>
  <c r="U14" i="16"/>
  <c r="T58" i="16"/>
  <c r="U58" i="16"/>
  <c r="U11" i="16"/>
  <c r="U59" i="16"/>
  <c r="V14" i="16"/>
  <c r="W14" i="16"/>
  <c r="V58" i="16"/>
  <c r="V59" i="16"/>
  <c r="V11" i="16"/>
  <c r="W11" i="16"/>
  <c r="W59" i="16"/>
  <c r="X14" i="16"/>
  <c r="W58" i="16"/>
  <c r="X11" i="16"/>
  <c r="X59" i="16"/>
  <c r="Y14" i="16"/>
  <c r="X58" i="16"/>
  <c r="Y58" i="16"/>
  <c r="Y11" i="16"/>
  <c r="Y59" i="16"/>
  <c r="Z14" i="16"/>
  <c r="AA14" i="16"/>
  <c r="Z58" i="16"/>
  <c r="Z59" i="16"/>
  <c r="Z11" i="16"/>
  <c r="AA11" i="16"/>
  <c r="AA59" i="16"/>
  <c r="AB14" i="16"/>
  <c r="AA58" i="16"/>
  <c r="AB11" i="16"/>
  <c r="AB59" i="16"/>
  <c r="AC14" i="16"/>
  <c r="AB58" i="16"/>
  <c r="AC16" i="16"/>
  <c r="AC58" i="16"/>
  <c r="AC17" i="16"/>
  <c r="AC18" i="16"/>
  <c r="AC11" i="16"/>
  <c r="AC19" i="16"/>
  <c r="AC20" i="16"/>
  <c r="AC21" i="16"/>
  <c r="AC22" i="16"/>
  <c r="AC23" i="16"/>
  <c r="AC24" i="16"/>
  <c r="AC25" i="16"/>
  <c r="AC26" i="16"/>
  <c r="AC27" i="16"/>
  <c r="AC28" i="16"/>
  <c r="AC29" i="16"/>
  <c r="AC30" i="16"/>
  <c r="AC31" i="16"/>
  <c r="AC32" i="16"/>
  <c r="AC33" i="16"/>
  <c r="AC34" i="16"/>
  <c r="AC35" i="16"/>
  <c r="AC36" i="16"/>
  <c r="AC37" i="16"/>
  <c r="AC38" i="16"/>
  <c r="AC39" i="16"/>
  <c r="AC40" i="16"/>
  <c r="AC41" i="16"/>
  <c r="AC42" i="16"/>
  <c r="AC43" i="16"/>
  <c r="AC44" i="16"/>
  <c r="AC45" i="16"/>
  <c r="AC46" i="16"/>
  <c r="AC47" i="16"/>
  <c r="AC48" i="16"/>
  <c r="AC49" i="16"/>
  <c r="AC50" i="16"/>
  <c r="AC51" i="16"/>
  <c r="AC52" i="16"/>
  <c r="AC53" i="16"/>
  <c r="AC54" i="16"/>
  <c r="AC55" i="16"/>
  <c r="AC56" i="16"/>
  <c r="AC57" i="16"/>
  <c r="AC59" i="16"/>
  <c r="AD14" i="16"/>
  <c r="AD16" i="16"/>
  <c r="AD17" i="16"/>
  <c r="AD58" i="16"/>
  <c r="AD18" i="16"/>
  <c r="AD11" i="16"/>
  <c r="AD22" i="16"/>
  <c r="AD26" i="16"/>
  <c r="AD30" i="16"/>
  <c r="AD34" i="16"/>
  <c r="AD38" i="16"/>
  <c r="AD42" i="16"/>
  <c r="AD46" i="16"/>
  <c r="AD50" i="16"/>
  <c r="AD54" i="16"/>
  <c r="AD21" i="16"/>
  <c r="AD25" i="16"/>
  <c r="AD29" i="16"/>
  <c r="AD33" i="16"/>
  <c r="AD37" i="16"/>
  <c r="AD41" i="16"/>
  <c r="AD45" i="16"/>
  <c r="AD49" i="16"/>
  <c r="AD53" i="16"/>
  <c r="AD57" i="16"/>
  <c r="AD20" i="16"/>
  <c r="AD24" i="16"/>
  <c r="AD28" i="16"/>
  <c r="AD32" i="16"/>
  <c r="AD36" i="16"/>
  <c r="AD40" i="16"/>
  <c r="AD44" i="16"/>
  <c r="AD48" i="16"/>
  <c r="AD52" i="16"/>
  <c r="AD56" i="16"/>
  <c r="AD19" i="16"/>
  <c r="AD23" i="16"/>
  <c r="AD27" i="16"/>
  <c r="AD31" i="16"/>
  <c r="AD35" i="16"/>
  <c r="AD39" i="16"/>
  <c r="AD43" i="16"/>
  <c r="AD47" i="16"/>
  <c r="AD51" i="16"/>
  <c r="AD55" i="16"/>
  <c r="AD59" i="16"/>
  <c r="K14" i="22" l="1"/>
  <c r="J11" i="22"/>
  <c r="J56" i="22"/>
  <c r="J55" i="22"/>
  <c r="T10" i="19"/>
  <c r="Y10" i="19"/>
  <c r="R10" i="19"/>
  <c r="N10" i="19"/>
  <c r="P10" i="19"/>
  <c r="AB10" i="19"/>
  <c r="H10" i="19"/>
  <c r="Z10" i="19"/>
  <c r="J10" i="19"/>
  <c r="AA10" i="19"/>
  <c r="O10" i="19"/>
  <c r="V10" i="19"/>
  <c r="I10" i="19"/>
  <c r="S10" i="19"/>
  <c r="U10" i="19"/>
  <c r="G10" i="19"/>
  <c r="W10" i="19"/>
  <c r="M10" i="19"/>
  <c r="F10" i="19"/>
  <c r="G61" i="19"/>
  <c r="G11" i="19"/>
  <c r="G62" i="19"/>
  <c r="L10" i="19"/>
  <c r="X10" i="19"/>
  <c r="Q10" i="19"/>
  <c r="K10" i="19"/>
  <c r="H61" i="19"/>
  <c r="I14" i="19"/>
  <c r="H62" i="19"/>
  <c r="K28" i="20"/>
  <c r="G28" i="20"/>
  <c r="B29" i="20"/>
  <c r="G5" i="20"/>
  <c r="G6" i="20" s="1"/>
  <c r="D8" i="20" s="1"/>
  <c r="D5" i="7"/>
  <c r="H11" i="19"/>
  <c r="I11" i="19"/>
  <c r="F11" i="19"/>
  <c r="J11" i="16"/>
  <c r="P30" i="20"/>
  <c r="H11" i="16"/>
  <c r="I11" i="16"/>
  <c r="D18" i="7"/>
  <c r="B19" i="7"/>
  <c r="G11" i="16"/>
  <c r="D11" i="16"/>
  <c r="F13" i="16" s="1"/>
  <c r="P33" i="20"/>
  <c r="P29" i="20"/>
  <c r="P28" i="20"/>
  <c r="P32" i="20"/>
  <c r="P31" i="20"/>
  <c r="Q29" i="20"/>
  <c r="Q31" i="20"/>
  <c r="Q33" i="20"/>
  <c r="Q28" i="20"/>
  <c r="Q30" i="20"/>
  <c r="Q32" i="20"/>
  <c r="K56" i="22" l="1"/>
  <c r="L14" i="22"/>
  <c r="K55" i="22"/>
  <c r="K11" i="22"/>
  <c r="B30" i="20"/>
  <c r="I30" i="20" s="1"/>
  <c r="H30" i="20" s="1"/>
  <c r="E29" i="20"/>
  <c r="I62" i="19"/>
  <c r="I61" i="19"/>
  <c r="J14" i="19"/>
  <c r="F29" i="20"/>
  <c r="G29" i="20" s="1"/>
  <c r="I29" i="20"/>
  <c r="H29" i="20" s="1"/>
  <c r="D19" i="7"/>
  <c r="B20" i="7"/>
  <c r="D13" i="16"/>
  <c r="R12" i="16" s="1"/>
  <c r="L55" i="22" l="1"/>
  <c r="M14" i="22"/>
  <c r="L11" i="22"/>
  <c r="L56" i="22"/>
  <c r="E30" i="20"/>
  <c r="F30" i="20"/>
  <c r="G30" i="20" s="1"/>
  <c r="B31" i="20"/>
  <c r="E31" i="20" s="1"/>
  <c r="I31" i="20"/>
  <c r="K14" i="19"/>
  <c r="J61" i="19"/>
  <c r="J62" i="19"/>
  <c r="J11" i="19"/>
  <c r="K29" i="20"/>
  <c r="U12" i="16"/>
  <c r="W12" i="16"/>
  <c r="Z12" i="16"/>
  <c r="AC12" i="16"/>
  <c r="AD12" i="16"/>
  <c r="M12" i="16"/>
  <c r="V12" i="16"/>
  <c r="N12" i="16"/>
  <c r="O12" i="16"/>
  <c r="X12" i="16"/>
  <c r="G12" i="16"/>
  <c r="T12" i="16"/>
  <c r="P12" i="16"/>
  <c r="Q12" i="16"/>
  <c r="AA12" i="16"/>
  <c r="AB12" i="16"/>
  <c r="J12" i="16"/>
  <c r="Y12" i="16"/>
  <c r="S12" i="16"/>
  <c r="H12" i="16"/>
  <c r="K12" i="16"/>
  <c r="I12" i="16"/>
  <c r="F12" i="16"/>
  <c r="B21" i="7"/>
  <c r="D20" i="7"/>
  <c r="L12" i="16"/>
  <c r="M55" i="22" l="1"/>
  <c r="N14" i="22"/>
  <c r="M11" i="22"/>
  <c r="M56" i="22"/>
  <c r="B32" i="20"/>
  <c r="B33" i="20" s="1"/>
  <c r="F33" i="20" s="1"/>
  <c r="F31" i="20"/>
  <c r="G31" i="20" s="1"/>
  <c r="K30" i="20"/>
  <c r="N31" i="20"/>
  <c r="I32" i="20"/>
  <c r="H32" i="20" s="1"/>
  <c r="E32" i="20"/>
  <c r="N32" i="20"/>
  <c r="N33" i="20"/>
  <c r="H31" i="20"/>
  <c r="N28" i="20"/>
  <c r="N29" i="20"/>
  <c r="N30" i="20"/>
  <c r="L14" i="19"/>
  <c r="K62" i="19"/>
  <c r="K11" i="19"/>
  <c r="K61" i="19"/>
  <c r="D21" i="7"/>
  <c r="B22" i="7"/>
  <c r="O14" i="22" l="1"/>
  <c r="N11" i="22"/>
  <c r="N56" i="22"/>
  <c r="N55" i="22"/>
  <c r="F32" i="20"/>
  <c r="G32" i="20" s="1"/>
  <c r="G33" i="20"/>
  <c r="L30" i="20"/>
  <c r="I33" i="20"/>
  <c r="H33" i="20" s="1"/>
  <c r="E33" i="20"/>
  <c r="K31" i="20"/>
  <c r="L29" i="20" s="1"/>
  <c r="K32" i="20"/>
  <c r="L62" i="19"/>
  <c r="L11" i="19"/>
  <c r="M14" i="19"/>
  <c r="L61" i="19"/>
  <c r="D22" i="7"/>
  <c r="B23" i="7"/>
  <c r="A22" i="7"/>
  <c r="E22" i="7" s="1"/>
  <c r="O56" i="22" l="1"/>
  <c r="O11" i="22"/>
  <c r="O55" i="22"/>
  <c r="P14" i="22"/>
  <c r="L31" i="20"/>
  <c r="M31" i="20" s="1"/>
  <c r="M30" i="20"/>
  <c r="K33" i="20"/>
  <c r="L28" i="20"/>
  <c r="M28" i="20" s="1"/>
  <c r="L32" i="20"/>
  <c r="L33" i="20"/>
  <c r="M11" i="19"/>
  <c r="M61" i="19"/>
  <c r="N14" i="19"/>
  <c r="M62" i="19"/>
  <c r="B24" i="7"/>
  <c r="A23" i="7"/>
  <c r="E23" i="7" s="1"/>
  <c r="D23" i="7"/>
  <c r="P55" i="22" l="1"/>
  <c r="Q14" i="22"/>
  <c r="P11" i="22"/>
  <c r="P56" i="22"/>
  <c r="M32" i="20"/>
  <c r="M33" i="20"/>
  <c r="M29" i="20"/>
  <c r="N61" i="19"/>
  <c r="N62" i="19"/>
  <c r="N11" i="19"/>
  <c r="O14" i="19"/>
  <c r="G3" i="20"/>
  <c r="B25" i="7"/>
  <c r="D24" i="7"/>
  <c r="A24" i="7"/>
  <c r="E24" i="7" s="1"/>
  <c r="Q55" i="22" l="1"/>
  <c r="R14" i="22"/>
  <c r="Q11" i="22"/>
  <c r="Q56" i="22"/>
  <c r="D12" i="20"/>
  <c r="D22" i="20"/>
  <c r="G9" i="20"/>
  <c r="O11" i="19"/>
  <c r="O62" i="19"/>
  <c r="P14" i="19"/>
  <c r="O61" i="19"/>
  <c r="G19" i="20"/>
  <c r="G20" i="20"/>
  <c r="D9" i="20"/>
  <c r="D20" i="20"/>
  <c r="D21" i="20"/>
  <c r="D18" i="20"/>
  <c r="D25" i="7"/>
  <c r="A25" i="7"/>
  <c r="E25" i="7" s="1"/>
  <c r="B26" i="7"/>
  <c r="S14" i="22" l="1"/>
  <c r="R11" i="22"/>
  <c r="R56" i="22"/>
  <c r="R55" i="22"/>
  <c r="P11" i="19"/>
  <c r="P61" i="19"/>
  <c r="Q14" i="19"/>
  <c r="P62" i="19"/>
  <c r="D24" i="20"/>
  <c r="O29" i="20"/>
  <c r="O31" i="20"/>
  <c r="D19" i="20"/>
  <c r="O28" i="20"/>
  <c r="O32" i="20"/>
  <c r="D23" i="20"/>
  <c r="O30" i="20"/>
  <c r="O33" i="20"/>
  <c r="B27" i="7"/>
  <c r="D26" i="7"/>
  <c r="A26" i="7"/>
  <c r="E26" i="7" s="1"/>
  <c r="S56" i="22" l="1"/>
  <c r="T14" i="22"/>
  <c r="S11" i="22"/>
  <c r="S55" i="22"/>
  <c r="Q61" i="19"/>
  <c r="Q11" i="19"/>
  <c r="R14" i="19"/>
  <c r="Q62" i="19"/>
  <c r="D27" i="7"/>
  <c r="B28" i="7"/>
  <c r="A27" i="7"/>
  <c r="E27" i="7" s="1"/>
  <c r="T55" i="22" l="1"/>
  <c r="U14" i="22"/>
  <c r="T11" i="22"/>
  <c r="T56" i="22"/>
  <c r="R61" i="19"/>
  <c r="R62" i="19"/>
  <c r="S14" i="19"/>
  <c r="R11" i="19"/>
  <c r="D28" i="7"/>
  <c r="B29" i="7"/>
  <c r="A28" i="7"/>
  <c r="E28" i="7" s="1"/>
  <c r="U55" i="22" l="1"/>
  <c r="V14" i="22"/>
  <c r="U11" i="22"/>
  <c r="U56" i="22"/>
  <c r="S11" i="19"/>
  <c r="S62" i="19"/>
  <c r="S61" i="19"/>
  <c r="T14" i="19"/>
  <c r="A29" i="7"/>
  <c r="E29" i="7" s="1"/>
  <c r="D29" i="7"/>
  <c r="B30" i="7"/>
  <c r="W14" i="22" l="1"/>
  <c r="V11" i="22"/>
  <c r="V56" i="22"/>
  <c r="V55" i="22"/>
  <c r="T61" i="19"/>
  <c r="T62" i="19"/>
  <c r="U14" i="19"/>
  <c r="T11" i="19"/>
  <c r="A30" i="7"/>
  <c r="E30" i="7" s="1"/>
  <c r="D30" i="7"/>
  <c r="W56" i="22" l="1"/>
  <c r="X14" i="22"/>
  <c r="W55" i="22"/>
  <c r="W11" i="22"/>
  <c r="U11" i="19"/>
  <c r="U61" i="19"/>
  <c r="V14" i="19"/>
  <c r="U62" i="19"/>
  <c r="X55" i="22" l="1"/>
  <c r="Y14" i="22"/>
  <c r="X11" i="22"/>
  <c r="X56" i="22"/>
  <c r="V61" i="19"/>
  <c r="V62" i="19"/>
  <c r="V11" i="19"/>
  <c r="W14" i="19"/>
  <c r="Y55" i="22" l="1"/>
  <c r="Z14" i="22"/>
  <c r="Y11" i="22"/>
  <c r="Y56" i="22"/>
  <c r="W62" i="19"/>
  <c r="W11" i="19"/>
  <c r="X14" i="19"/>
  <c r="W61" i="19"/>
  <c r="AA14" i="22" l="1"/>
  <c r="Z11" i="22"/>
  <c r="Z56" i="22"/>
  <c r="Z55" i="22"/>
  <c r="X61" i="19"/>
  <c r="X62" i="19"/>
  <c r="Y14" i="19"/>
  <c r="X11" i="19"/>
  <c r="AA56" i="22" l="1"/>
  <c r="AA11" i="22"/>
  <c r="AA55" i="22"/>
  <c r="AB14" i="22"/>
  <c r="Y11" i="19"/>
  <c r="Y61" i="19"/>
  <c r="Z14" i="19"/>
  <c r="Y62" i="19"/>
  <c r="AB55" i="22" l="1"/>
  <c r="AC14" i="22"/>
  <c r="AB11" i="22"/>
  <c r="AB56" i="22"/>
  <c r="Z61" i="19"/>
  <c r="Z62" i="19"/>
  <c r="AA14" i="19"/>
  <c r="Z11" i="19"/>
  <c r="AC55" i="22" l="1"/>
  <c r="AC32" i="22"/>
  <c r="AC30" i="22"/>
  <c r="AC27" i="22"/>
  <c r="AC25" i="22"/>
  <c r="AC23" i="22"/>
  <c r="AC21" i="22"/>
  <c r="AC19" i="22"/>
  <c r="AC15" i="22"/>
  <c r="AD14" i="22"/>
  <c r="AC11" i="22"/>
  <c r="AC56" i="22"/>
  <c r="AC54" i="22"/>
  <c r="AC53" i="22"/>
  <c r="AC52" i="22"/>
  <c r="AC51" i="22"/>
  <c r="AC50" i="22"/>
  <c r="AC49" i="22"/>
  <c r="AC48" i="22"/>
  <c r="AC47" i="22"/>
  <c r="AC46" i="22"/>
  <c r="AC45" i="22"/>
  <c r="AC44" i="22"/>
  <c r="AC43" i="22"/>
  <c r="AC42" i="22"/>
  <c r="AC41" i="22"/>
  <c r="AC40" i="22"/>
  <c r="AC39" i="22"/>
  <c r="AC38" i="22"/>
  <c r="AC37" i="22"/>
  <c r="AC36" i="22"/>
  <c r="AC35" i="22"/>
  <c r="AC34" i="22"/>
  <c r="AC33" i="22"/>
  <c r="AC31" i="22"/>
  <c r="AC29" i="22"/>
  <c r="AC26" i="22"/>
  <c r="AC24" i="22"/>
  <c r="AC22" i="22"/>
  <c r="AC20" i="22"/>
  <c r="AC16" i="22"/>
  <c r="AA62" i="19"/>
  <c r="AA11" i="19"/>
  <c r="AA61" i="19"/>
  <c r="AB14" i="19"/>
  <c r="AD11" i="22" l="1"/>
  <c r="AD30" i="22"/>
  <c r="AD25" i="22"/>
  <c r="AD21" i="22"/>
  <c r="AD15" i="22"/>
  <c r="AD56" i="22"/>
  <c r="AD54" i="22"/>
  <c r="AD53" i="22"/>
  <c r="AD52" i="22"/>
  <c r="AD51" i="22"/>
  <c r="AD50" i="22"/>
  <c r="AD49" i="22"/>
  <c r="AD48" i="22"/>
  <c r="AD47" i="22"/>
  <c r="AD46" i="22"/>
  <c r="AD45" i="22"/>
  <c r="AD44" i="22"/>
  <c r="AD43" i="22"/>
  <c r="AD42" i="22"/>
  <c r="AD41" i="22"/>
  <c r="AD40" i="22"/>
  <c r="AD39" i="22"/>
  <c r="AD38" i="22"/>
  <c r="AD37" i="22"/>
  <c r="AD36" i="22"/>
  <c r="AD35" i="22"/>
  <c r="AD34" i="22"/>
  <c r="AD33" i="22"/>
  <c r="AD31" i="22"/>
  <c r="AD29" i="22"/>
  <c r="AD26" i="22"/>
  <c r="AD24" i="22"/>
  <c r="AD22" i="22"/>
  <c r="AD20" i="22"/>
  <c r="AD16" i="22"/>
  <c r="AD55" i="22"/>
  <c r="AD32" i="22"/>
  <c r="AD27" i="22"/>
  <c r="AD23" i="22"/>
  <c r="AD19" i="22"/>
  <c r="AC10" i="22"/>
  <c r="AB11" i="19"/>
  <c r="AB62" i="19"/>
  <c r="AC14" i="19"/>
  <c r="AB61" i="19"/>
  <c r="AD10" i="22" l="1"/>
  <c r="D11" i="22" s="1"/>
  <c r="AC37" i="19"/>
  <c r="AC28" i="19"/>
  <c r="AC26" i="19"/>
  <c r="AC41" i="19"/>
  <c r="AC45" i="19"/>
  <c r="AC49" i="19"/>
  <c r="AC53" i="19"/>
  <c r="AC57" i="19"/>
  <c r="AC62" i="19"/>
  <c r="AC29" i="19"/>
  <c r="AC30" i="19"/>
  <c r="AC46" i="19"/>
  <c r="AC27" i="19"/>
  <c r="AC35" i="19"/>
  <c r="AC31" i="19"/>
  <c r="AC50" i="19"/>
  <c r="AC38" i="19"/>
  <c r="AC61" i="19"/>
  <c r="AC23" i="19"/>
  <c r="AC18" i="19"/>
  <c r="AC36" i="19"/>
  <c r="AC33" i="19"/>
  <c r="AC43" i="19"/>
  <c r="AC47" i="19"/>
  <c r="AC51" i="19"/>
  <c r="AC55" i="19"/>
  <c r="AC59" i="19"/>
  <c r="AD14" i="19"/>
  <c r="AC11" i="19"/>
  <c r="AC25" i="19"/>
  <c r="AC32" i="19"/>
  <c r="AC54" i="19"/>
  <c r="AC39" i="19"/>
  <c r="AC22" i="19"/>
  <c r="AC19" i="19"/>
  <c r="AC40" i="19"/>
  <c r="AC44" i="19"/>
  <c r="AC48" i="19"/>
  <c r="AC52" i="19"/>
  <c r="AC56" i="19"/>
  <c r="AC60" i="19"/>
  <c r="AC20" i="19"/>
  <c r="AC21" i="19"/>
  <c r="AC42" i="19"/>
  <c r="AC58" i="19"/>
  <c r="F13" i="22" l="1"/>
  <c r="D13" i="22"/>
  <c r="AC10" i="19"/>
  <c r="AD19" i="19"/>
  <c r="AD20" i="19"/>
  <c r="AD36" i="19"/>
  <c r="AD53" i="19"/>
  <c r="AD52" i="19"/>
  <c r="AD62" i="19"/>
  <c r="AD27" i="19"/>
  <c r="AD41" i="19"/>
  <c r="AD56" i="19"/>
  <c r="AD55" i="19"/>
  <c r="AD33" i="19"/>
  <c r="AD22" i="19"/>
  <c r="AD37" i="19"/>
  <c r="AD23" i="19"/>
  <c r="AD31" i="19"/>
  <c r="AD45" i="19"/>
  <c r="AD30" i="19"/>
  <c r="AD44" i="19"/>
  <c r="AD60" i="19"/>
  <c r="AD43" i="19"/>
  <c r="AD59" i="19"/>
  <c r="AD42" i="19"/>
  <c r="AD54" i="19"/>
  <c r="AD28" i="19"/>
  <c r="AD29" i="19"/>
  <c r="AD46" i="19"/>
  <c r="AD39" i="19"/>
  <c r="AD40" i="19"/>
  <c r="AD35" i="19"/>
  <c r="AD38" i="19"/>
  <c r="AD11" i="19"/>
  <c r="AD26" i="19"/>
  <c r="AD49" i="19"/>
  <c r="AD18" i="19"/>
  <c r="AD48" i="19"/>
  <c r="AD21" i="19"/>
  <c r="AD47" i="19"/>
  <c r="AD61" i="19"/>
  <c r="AD58" i="19"/>
  <c r="AD32" i="19"/>
  <c r="AD51" i="19"/>
  <c r="AD25" i="19"/>
  <c r="AD57" i="19"/>
  <c r="AD50" i="19"/>
  <c r="Y12" i="22" l="1"/>
  <c r="O12" i="22"/>
  <c r="L12" i="22"/>
  <c r="R12" i="22"/>
  <c r="M12" i="22"/>
  <c r="S12" i="22"/>
  <c r="J12" i="22"/>
  <c r="P12" i="22"/>
  <c r="Z12" i="22"/>
  <c r="Q12" i="22"/>
  <c r="AB12" i="22"/>
  <c r="AC12" i="22"/>
  <c r="G12" i="22"/>
  <c r="W12" i="22"/>
  <c r="V12" i="22"/>
  <c r="T12" i="22"/>
  <c r="F12" i="22"/>
  <c r="AD12" i="22"/>
  <c r="U12" i="22"/>
  <c r="K12" i="22"/>
  <c r="AA12" i="22"/>
  <c r="H12" i="22"/>
  <c r="X12" i="22"/>
  <c r="N12" i="22"/>
  <c r="I12" i="22"/>
  <c r="AD10" i="19"/>
  <c r="D11" i="19" s="1"/>
  <c r="D13" i="19" s="1"/>
  <c r="F13" i="19" l="1"/>
  <c r="I12" i="19" s="1"/>
  <c r="AC12" i="19" l="1"/>
  <c r="J12" i="19"/>
  <c r="AB12" i="19"/>
  <c r="U12" i="19"/>
  <c r="R12" i="19"/>
  <c r="AD12" i="19"/>
  <c r="H12" i="19"/>
  <c r="G12" i="19"/>
  <c r="L12" i="19"/>
  <c r="N12" i="19"/>
  <c r="F12" i="19"/>
  <c r="Y12" i="19"/>
  <c r="Q12" i="19"/>
  <c r="Z12" i="19"/>
  <c r="M12" i="19"/>
  <c r="O12" i="19"/>
  <c r="P12" i="19"/>
  <c r="S12" i="19"/>
  <c r="V12" i="19"/>
  <c r="T12" i="19"/>
  <c r="W12" i="19"/>
  <c r="AA12" i="19"/>
  <c r="K12" i="19"/>
  <c r="X12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4" authorId="0" shapeId="0" xr:uid="{00000000-0006-0000-0100-000001000000}">
      <text>
        <r>
          <rPr>
            <sz val="8"/>
            <color indexed="81"/>
            <rFont val="Tahoma"/>
            <family val="2"/>
          </rPr>
          <t>Once a Story ID is given to a story, do not change that number or reuse it even if you delete the story.</t>
        </r>
      </text>
    </comment>
    <comment ref="C4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Use the following statuses:</t>
        </r>
        <r>
          <rPr>
            <sz val="8"/>
            <color indexed="81"/>
            <rFont val="Tahoma"/>
            <family val="2"/>
          </rPr>
          <t xml:space="preserve">
Planned (or empty)
Ongoing
Done
Removed
The sheet uses the above statuses in the formatting and calculation formulas.</t>
        </r>
      </text>
    </comment>
    <comment ref="D4" authorId="0" shapeId="0" xr:uid="{00000000-0006-0000-0100-000003000000}">
      <text>
        <r>
          <rPr>
            <sz val="8"/>
            <color indexed="81"/>
            <rFont val="Tahoma"/>
            <family val="2"/>
          </rPr>
          <t>Story Points or Ideal Days</t>
        </r>
      </text>
    </comment>
    <comment ref="E4" authorId="0" shapeId="0" xr:uid="{00000000-0006-0000-0100-000004000000}">
      <text>
        <r>
          <rPr>
            <sz val="8"/>
            <color indexed="81"/>
            <rFont val="Tahoma"/>
            <family val="2"/>
          </rPr>
          <t>Create a release plan by assigning stories to planned sprints. If there are more stories in the backlog than in the plan, leave the remaining stories unassigned to sprints.</t>
        </r>
      </text>
    </comment>
    <comment ref="F4" authorId="0" shapeId="0" xr:uid="{00000000-0006-0000-0100-000005000000}">
      <text>
        <r>
          <rPr>
            <sz val="8"/>
            <color indexed="81"/>
            <rFont val="Tahoma"/>
            <family val="2"/>
          </rPr>
          <t>You may assign priorities to the stories, but keep in mind that priority does not always equal implementation order.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B15" authorId="0" shapeId="0" xr:uid="{00000000-0006-0000-0200-000001000000}">
      <text>
        <r>
          <rPr>
            <sz val="8"/>
            <color indexed="81"/>
            <rFont val="Tahoma"/>
            <family val="2"/>
          </rPr>
          <t>Average estimate * 0,6</t>
        </r>
      </text>
    </comment>
    <comment ref="B17" authorId="0" shapeId="0" xr:uid="{00000000-0006-0000-0200-000002000000}">
      <text>
        <r>
          <rPr>
            <sz val="8"/>
            <color indexed="81"/>
            <rFont val="Tahoma"/>
            <family val="2"/>
          </rPr>
          <t>Average estimate * 1,6</t>
        </r>
      </text>
    </comment>
    <comment ref="B19" authorId="0" shapeId="0" xr:uid="{00000000-0006-0000-0200-000003000000}">
      <text>
        <r>
          <rPr>
            <sz val="8"/>
            <color indexed="81"/>
            <rFont val="Tahoma"/>
            <family val="2"/>
          </rPr>
          <t>As of latest Product Backlog estimate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00000000-0006-0000-0300-000001000000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A1E31EBA-04E9-493F-B766-892312BE269A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00000000-0006-0000-0400-000001000000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sharedStrings.xml><?xml version="1.0" encoding="utf-8"?>
<sst xmlns="http://schemas.openxmlformats.org/spreadsheetml/2006/main" count="283" uniqueCount="140">
  <si>
    <t>Goal</t>
  </si>
  <si>
    <t>Start</t>
  </si>
  <si>
    <t>End</t>
  </si>
  <si>
    <t>Status</t>
  </si>
  <si>
    <t>Release Date</t>
  </si>
  <si>
    <t>Product Backlog</t>
  </si>
  <si>
    <t>Story name</t>
  </si>
  <si>
    <t>Task name</t>
  </si>
  <si>
    <t>Responsible</t>
  </si>
  <si>
    <t>Effort</t>
  </si>
  <si>
    <t>Est.</t>
  </si>
  <si>
    <t>Remaining on implementation day…</t>
  </si>
  <si>
    <t>Sprint implementation days</t>
  </si>
  <si>
    <t>Sprint</t>
  </si>
  <si>
    <t>Sprint Plan</t>
  </si>
  <si>
    <t>Increment Plan</t>
  </si>
  <si>
    <t>Incr.</t>
  </si>
  <si>
    <t>Totals</t>
  </si>
  <si>
    <t>Size</t>
  </si>
  <si>
    <t>Planned</t>
  </si>
  <si>
    <t>Unallocated stories</t>
  </si>
  <si>
    <t>Story ID</t>
  </si>
  <si>
    <t>Task rows</t>
  </si>
  <si>
    <t>Done days</t>
  </si>
  <si>
    <t>Trend</t>
  </si>
  <si>
    <t>Trend Days</t>
  </si>
  <si>
    <t>Warning! These are necessary</t>
  </si>
  <si>
    <t>template rows</t>
  </si>
  <si>
    <t>Comments</t>
  </si>
  <si>
    <t>Trend calculated based on last</t>
  </si>
  <si>
    <t>Days</t>
  </si>
  <si>
    <t>Template note: Increment plan is intended to collect individual sprints into larger releases. In smaller projects, this is not needed.</t>
  </si>
  <si>
    <t>Increment</t>
  </si>
  <si>
    <t>Product Backlog Burndown Chart</t>
  </si>
  <si>
    <t>Realized</t>
  </si>
  <si>
    <t>Col top</t>
  </si>
  <si>
    <t>Col bottom</t>
  </si>
  <si>
    <t>Original planned size</t>
  </si>
  <si>
    <t>Do not delete…</t>
  </si>
  <si>
    <t>Sprint count</t>
  </si>
  <si>
    <t>Count trend from last</t>
  </si>
  <si>
    <t>sprints</t>
  </si>
  <si>
    <t>Trend offset</t>
  </si>
  <si>
    <t>Sprints in Trend</t>
  </si>
  <si>
    <t>Current Bottom</t>
  </si>
  <si>
    <t>Real Trend</t>
  </si>
  <si>
    <t>Original estimate</t>
  </si>
  <si>
    <t>Realized average</t>
  </si>
  <si>
    <t>Average last 8</t>
  </si>
  <si>
    <t>Avg. worst 3 in last 8</t>
  </si>
  <si>
    <t>Raw Trend</t>
  </si>
  <si>
    <t>Trend count</t>
  </si>
  <si>
    <t>These hidden cells are used to draw the graph on this page. DO NOT DELETE!</t>
  </si>
  <si>
    <t>Predictions - Completion at the end of sprint…</t>
  </si>
  <si>
    <t>Original estimate - Min</t>
  </si>
  <si>
    <t>Original estimate - Max</t>
  </si>
  <si>
    <t>Original estimate - Avg</t>
  </si>
  <si>
    <t>Trend Help</t>
  </si>
  <si>
    <t>Trend sprint count</t>
  </si>
  <si>
    <t>Realized total average</t>
  </si>
  <si>
    <t>Standard Dev.</t>
  </si>
  <si>
    <t>Realized + St. Dev</t>
  </si>
  <si>
    <t>Realized - St. Dev</t>
  </si>
  <si>
    <t>LastPlanned</t>
  </si>
  <si>
    <t>LastRealized</t>
  </si>
  <si>
    <t>Remain.Work</t>
  </si>
  <si>
    <t>Planned Work</t>
  </si>
  <si>
    <t>Realized Work</t>
  </si>
  <si>
    <t>Current Total Size</t>
  </si>
  <si>
    <t>Average Speeds</t>
  </si>
  <si>
    <t>Last 8</t>
  </si>
  <si>
    <t>Worst 3 in Last 8</t>
  </si>
  <si>
    <t>Velocity (points per sprint)</t>
  </si>
  <si>
    <t>Specification and prototype development</t>
  </si>
  <si>
    <t>Specification and prototype development, documentation</t>
  </si>
  <si>
    <t>Usability test, documentation, prototype corrections</t>
  </si>
  <si>
    <t>Priority</t>
  </si>
  <si>
    <t>Planning</t>
  </si>
  <si>
    <t xml:space="preserve"> </t>
  </si>
  <si>
    <t>Done</t>
  </si>
  <si>
    <t>Example task</t>
  </si>
  <si>
    <t>Example task 2</t>
  </si>
  <si>
    <t>Ongoing</t>
  </si>
  <si>
    <t>Example task 3</t>
  </si>
  <si>
    <t>&lt;Delete these example lines&gt;</t>
  </si>
  <si>
    <t>Note:</t>
  </si>
  <si>
    <t xml:space="preserve">In this chart, the tops of the bars show the amount of actual </t>
  </si>
  <si>
    <t>in the project increases, the bottoms move lower). The length</t>
  </si>
  <si>
    <t>of the bars indicate the estimated size of the project at the</t>
  </si>
  <si>
    <t xml:space="preserve">(or planned) implemented functionality at the beginning of each sprint. </t>
  </si>
  <si>
    <t>The bottoms of the bars show the changes in project scope</t>
  </si>
  <si>
    <t>(i.e. if the amount of story points</t>
  </si>
  <si>
    <t xml:space="preserve">beginning of each sprint. </t>
  </si>
  <si>
    <t>The red line indicates the current planned scope.</t>
  </si>
  <si>
    <t>Initial 
Estimate</t>
  </si>
  <si>
    <t>Story ID:</t>
  </si>
  <si>
    <t>Story:</t>
  </si>
  <si>
    <t>Task:</t>
  </si>
  <si>
    <t>Work 
Left</t>
  </si>
  <si>
    <t>Work 
Done</t>
  </si>
  <si>
    <t>OF0348-HU-01</t>
  </si>
  <si>
    <t>OF0348-HU-02</t>
  </si>
  <si>
    <t>OF0348-HU-03</t>
  </si>
  <si>
    <t>OF0348-HU-04</t>
  </si>
  <si>
    <t>OF0348-HU-05</t>
  </si>
  <si>
    <t>OF0348-HU-06</t>
  </si>
  <si>
    <t>OF0348-HU-07</t>
  </si>
  <si>
    <t>OF0348-HU-08</t>
  </si>
  <si>
    <t>Agregar «Credenciales de consumidor»</t>
  </si>
  <si>
    <t>Modificar «Credenciales de consumidor»</t>
  </si>
  <si>
    <t>Visualizar «Credenciales de consumidor»</t>
  </si>
  <si>
    <t>Visualizar Identidades creadas por «CdC»</t>
  </si>
  <si>
    <t>Servidor: Permitir uso de XEP0348</t>
  </si>
  <si>
    <t>Thing: Permitir uso de XEP0348</t>
  </si>
  <si>
    <t>Cliente: Permitir uso de XEP0348</t>
  </si>
  <si>
    <t>M</t>
  </si>
  <si>
    <t>S</t>
  </si>
  <si>
    <t>C</t>
  </si>
  <si>
    <t>Borrar  Identidades creadas por «CdC»</t>
  </si>
  <si>
    <t>Released</t>
  </si>
  <si>
    <t>Inicio</t>
  </si>
  <si>
    <t>Días</t>
  </si>
  <si>
    <t>Fin</t>
  </si>
  <si>
    <t>Tamaño</t>
  </si>
  <si>
    <t>Estado</t>
  </si>
  <si>
    <t>Marcelo A.</t>
  </si>
  <si>
    <t>Diagrama de secuencia agregar «Credencial consumidor»</t>
  </si>
  <si>
    <t>Diagrama de clases</t>
  </si>
  <si>
    <t>Crear Mockup de interfaz web</t>
  </si>
  <si>
    <t>Codificar modulo conexión DB</t>
  </si>
  <si>
    <t>Codificar interfaz web</t>
  </si>
  <si>
    <t>Codificar logica JSP de agregar «Credencial Consumidor»</t>
  </si>
  <si>
    <t>Codificar funciones JS de hashing</t>
  </si>
  <si>
    <t>Diagrama de secuencia agregar «Visualizar CdC»</t>
  </si>
  <si>
    <t>Codificar modulo de consulta</t>
  </si>
  <si>
    <t>Codificar JSP</t>
  </si>
  <si>
    <t>Diagrama de relacional de Base de datos</t>
  </si>
  <si>
    <t>Diagrama de componentes</t>
  </si>
  <si>
    <t>Ejecucion de pruebas de aceptación</t>
  </si>
  <si>
    <t>Refactoring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</si>
</sst>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\.m\.yyyy;@"/>
    <numFmt numFmtId="165" formatCode="0.0"/>
    <numFmt numFmtId="166" formatCode="&quot;Sprint &quot;#&quot; Backlog&quot;"/>
    <numFmt numFmtId="167" formatCode="&quot;Last &quot;###&quot; sprints&quot;"/>
  </numFmts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4"/>
      <name val="Arial"/>
      <family val="2"/>
    </font>
    <font>
      <sz val="14"/>
      <name val="Arial"/>
      <family val="2"/>
    </font>
    <font>
      <sz val="8"/>
      <color indexed="81"/>
      <name val="Tahoma"/>
      <family val="2"/>
    </font>
    <font>
      <i/>
      <sz val="10"/>
      <color indexed="12"/>
      <name val="Arial"/>
      <family val="2"/>
    </font>
    <font>
      <b/>
      <sz val="8"/>
      <color indexed="81"/>
      <name val="Tahoma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4.9989318521683403E-2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0" fontId="1" fillId="0" borderId="7" xfId="0" applyFont="1" applyBorder="1"/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3" fillId="0" borderId="0" xfId="0" applyFont="1"/>
    <xf numFmtId="0" fontId="0" fillId="2" borderId="0" xfId="0" applyFill="1"/>
    <xf numFmtId="0" fontId="1" fillId="0" borderId="0" xfId="0" applyFont="1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/>
    <xf numFmtId="0" fontId="0" fillId="2" borderId="0" xfId="0" applyFill="1" applyAlignment="1"/>
    <xf numFmtId="0" fontId="0" fillId="2" borderId="0" xfId="0" applyNumberFormat="1" applyFill="1" applyBorder="1" applyAlignment="1">
      <alignment horizontal="center"/>
    </xf>
    <xf numFmtId="0" fontId="0" fillId="0" borderId="11" xfId="0" applyBorder="1"/>
    <xf numFmtId="0" fontId="1" fillId="0" borderId="11" xfId="0" applyFont="1" applyBorder="1" applyAlignment="1">
      <alignment horizontal="right"/>
    </xf>
    <xf numFmtId="0" fontId="0" fillId="2" borderId="11" xfId="0" applyNumberFormat="1" applyFill="1" applyBorder="1" applyAlignment="1">
      <alignment horizontal="center"/>
    </xf>
    <xf numFmtId="14" fontId="0" fillId="2" borderId="0" xfId="0" applyNumberFormat="1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0" fillId="0" borderId="2" xfId="0" applyNumberFormat="1" applyFill="1" applyBorder="1" applyAlignment="1">
      <alignment horizontal="left"/>
    </xf>
    <xf numFmtId="0" fontId="0" fillId="0" borderId="3" xfId="0" applyNumberFormat="1" applyFill="1" applyBorder="1" applyAlignment="1">
      <alignment horizontal="left"/>
    </xf>
    <xf numFmtId="0" fontId="0" fillId="0" borderId="4" xfId="0" applyNumberFormat="1" applyFill="1" applyBorder="1" applyAlignment="1">
      <alignment horizontal="left"/>
    </xf>
    <xf numFmtId="166" fontId="4" fillId="0" borderId="0" xfId="0" applyNumberFormat="1" applyFont="1" applyAlignment="1">
      <alignment horizontal="left"/>
    </xf>
    <xf numFmtId="0" fontId="0" fillId="0" borderId="0" xfId="0" applyAlignment="1">
      <alignment vertical="top" wrapText="1"/>
    </xf>
    <xf numFmtId="0" fontId="3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0" fontId="0" fillId="0" borderId="0" xfId="0" applyFill="1" applyAlignment="1">
      <alignment horizontal="center"/>
    </xf>
    <xf numFmtId="166" fontId="4" fillId="0" borderId="0" xfId="0" applyNumberFormat="1" applyFont="1" applyAlignment="1">
      <alignment horizontal="center"/>
    </xf>
    <xf numFmtId="0" fontId="6" fillId="0" borderId="0" xfId="0" applyFont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0" fontId="0" fillId="2" borderId="1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1" fillId="2" borderId="14" xfId="0" applyFont="1" applyFill="1" applyBorder="1" applyAlignment="1">
      <alignment horizontal="center" vertical="top"/>
    </xf>
    <xf numFmtId="0" fontId="1" fillId="2" borderId="14" xfId="0" applyFont="1" applyFill="1" applyBorder="1" applyAlignment="1">
      <alignment vertical="top" wrapText="1"/>
    </xf>
    <xf numFmtId="0" fontId="1" fillId="0" borderId="6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3" fillId="0" borderId="0" xfId="0" applyFont="1" applyAlignment="1">
      <alignment vertical="top"/>
    </xf>
    <xf numFmtId="0" fontId="0" fillId="3" borderId="0" xfId="0" applyFill="1"/>
    <xf numFmtId="0" fontId="9" fillId="0" borderId="0" xfId="0" applyFont="1"/>
    <xf numFmtId="0" fontId="0" fillId="3" borderId="0" xfId="0" applyFill="1" applyAlignment="1">
      <alignment horizontal="center"/>
    </xf>
    <xf numFmtId="165" fontId="0" fillId="3" borderId="0" xfId="0" applyNumberFormat="1" applyFill="1"/>
    <xf numFmtId="1" fontId="0" fillId="3" borderId="0" xfId="0" applyNumberFormat="1" applyFill="1"/>
    <xf numFmtId="0" fontId="1" fillId="2" borderId="14" xfId="0" applyFont="1" applyFill="1" applyBorder="1" applyAlignment="1">
      <alignment horizontal="center"/>
    </xf>
    <xf numFmtId="0" fontId="1" fillId="2" borderId="14" xfId="0" applyFont="1" applyFill="1" applyBorder="1" applyAlignment="1">
      <alignment wrapText="1"/>
    </xf>
    <xf numFmtId="0" fontId="1" fillId="2" borderId="14" xfId="0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1" fillId="2" borderId="0" xfId="0" applyFont="1" applyFill="1" applyBorder="1" applyAlignment="1">
      <alignment horizontal="left" wrapText="1"/>
    </xf>
    <xf numFmtId="165" fontId="0" fillId="0" borderId="0" xfId="0" applyNumberFormat="1"/>
    <xf numFmtId="166" fontId="4" fillId="0" borderId="0" xfId="0" applyNumberFormat="1" applyFont="1" applyAlignment="1">
      <alignment horizontal="left" vertical="top"/>
    </xf>
    <xf numFmtId="166" fontId="4" fillId="0" borderId="0" xfId="0" applyNumberFormat="1" applyFont="1" applyAlignment="1">
      <alignment horizontal="center" vertical="top"/>
    </xf>
    <xf numFmtId="0" fontId="1" fillId="2" borderId="0" xfId="0" applyFont="1" applyFill="1" applyAlignment="1">
      <alignment vertical="top"/>
    </xf>
    <xf numFmtId="0" fontId="0" fillId="0" borderId="0" xfId="0" applyFill="1" applyAlignment="1">
      <alignment horizontal="center" vertical="top"/>
    </xf>
    <xf numFmtId="0" fontId="0" fillId="2" borderId="0" xfId="0" applyFill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0" xfId="0" applyFont="1" applyFill="1" applyAlignment="1">
      <alignment horizontal="center" vertical="top"/>
    </xf>
    <xf numFmtId="0" fontId="0" fillId="0" borderId="3" xfId="0" applyBorder="1" applyAlignment="1">
      <alignment horizontal="center"/>
    </xf>
    <xf numFmtId="0" fontId="1" fillId="0" borderId="2" xfId="0" applyFont="1" applyBorder="1"/>
    <xf numFmtId="17" fontId="0" fillId="0" borderId="0" xfId="0" applyNumberFormat="1" applyAlignment="1">
      <alignment vertical="top"/>
    </xf>
    <xf numFmtId="17" fontId="0" fillId="0" borderId="0" xfId="0" applyNumberFormat="1" applyAlignment="1">
      <alignment vertical="top" wrapText="1"/>
    </xf>
    <xf numFmtId="17" fontId="0" fillId="0" borderId="0" xfId="0" applyNumberFormat="1" applyAlignment="1">
      <alignment horizontal="center" vertical="top"/>
    </xf>
    <xf numFmtId="14" fontId="0" fillId="0" borderId="0" xfId="0" applyNumberFormat="1" applyFill="1" applyBorder="1" applyAlignment="1">
      <alignment horizontal="center"/>
    </xf>
    <xf numFmtId="0" fontId="0" fillId="0" borderId="6" xfId="0" applyBorder="1" applyAlignment="1">
      <alignment vertical="top"/>
    </xf>
    <xf numFmtId="0" fontId="0" fillId="0" borderId="11" xfId="0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1" xfId="0" applyBorder="1" applyAlignment="1">
      <alignment vertical="top"/>
    </xf>
    <xf numFmtId="0" fontId="0" fillId="0" borderId="16" xfId="0" applyBorder="1" applyAlignment="1">
      <alignment vertical="top"/>
    </xf>
    <xf numFmtId="0" fontId="0" fillId="0" borderId="17" xfId="0" applyBorder="1" applyAlignment="1">
      <alignment vertical="top"/>
    </xf>
    <xf numFmtId="0" fontId="0" fillId="0" borderId="18" xfId="0" applyBorder="1" applyAlignment="1">
      <alignment vertical="top"/>
    </xf>
    <xf numFmtId="0" fontId="0" fillId="0" borderId="19" xfId="0" applyBorder="1" applyAlignment="1">
      <alignment vertical="top"/>
    </xf>
    <xf numFmtId="0" fontId="0" fillId="0" borderId="20" xfId="0" applyBorder="1" applyAlignment="1">
      <alignment vertical="top"/>
    </xf>
    <xf numFmtId="0" fontId="0" fillId="0" borderId="21" xfId="0" applyBorder="1" applyAlignment="1">
      <alignment vertical="top"/>
    </xf>
    <xf numFmtId="0" fontId="0" fillId="0" borderId="22" xfId="0" applyBorder="1" applyAlignment="1">
      <alignment vertical="top"/>
    </xf>
    <xf numFmtId="0" fontId="0" fillId="0" borderId="23" xfId="0" applyBorder="1" applyAlignment="1">
      <alignment vertical="top"/>
    </xf>
    <xf numFmtId="0" fontId="0" fillId="0" borderId="24" xfId="0" applyBorder="1" applyAlignment="1">
      <alignment vertical="top"/>
    </xf>
    <xf numFmtId="0" fontId="0" fillId="0" borderId="25" xfId="0" applyBorder="1" applyAlignment="1">
      <alignment vertical="top"/>
    </xf>
    <xf numFmtId="0" fontId="0" fillId="0" borderId="26" xfId="0" applyBorder="1" applyAlignment="1">
      <alignment vertical="top" wrapText="1"/>
    </xf>
    <xf numFmtId="0" fontId="0" fillId="0" borderId="27" xfId="0" applyBorder="1" applyAlignment="1">
      <alignment vertical="top"/>
    </xf>
    <xf numFmtId="0" fontId="0" fillId="0" borderId="28" xfId="0" applyBorder="1" applyAlignment="1">
      <alignment vertical="top" wrapText="1"/>
    </xf>
    <xf numFmtId="0" fontId="0" fillId="0" borderId="29" xfId="0" applyBorder="1" applyAlignment="1">
      <alignment vertical="top"/>
    </xf>
    <xf numFmtId="0" fontId="0" fillId="0" borderId="30" xfId="0" applyBorder="1" applyAlignment="1">
      <alignment vertical="top"/>
    </xf>
    <xf numFmtId="0" fontId="0" fillId="0" borderId="31" xfId="0" applyBorder="1" applyAlignment="1">
      <alignment vertical="top"/>
    </xf>
    <xf numFmtId="0" fontId="1" fillId="0" borderId="32" xfId="0" applyFont="1" applyBorder="1" applyAlignment="1">
      <alignment horizontal="center" vertical="top"/>
    </xf>
    <xf numFmtId="0" fontId="10" fillId="0" borderId="27" xfId="0" applyFont="1" applyBorder="1" applyAlignment="1">
      <alignment horizontal="center" vertical="center"/>
    </xf>
    <xf numFmtId="0" fontId="11" fillId="0" borderId="0" xfId="0" applyFont="1" applyAlignment="1">
      <alignment vertical="top" wrapText="1"/>
    </xf>
    <xf numFmtId="0" fontId="11" fillId="0" borderId="0" xfId="0" applyFont="1" applyAlignment="1">
      <alignment horizontal="center" vertical="top"/>
    </xf>
    <xf numFmtId="0" fontId="11" fillId="0" borderId="0" xfId="0" applyFont="1"/>
    <xf numFmtId="0" fontId="11" fillId="0" borderId="0" xfId="0" applyFont="1" applyAlignment="1">
      <alignment horizontal="center"/>
    </xf>
    <xf numFmtId="0" fontId="0" fillId="4" borderId="0" xfId="0" applyFill="1" applyAlignment="1">
      <alignment horizontal="center" vertical="top"/>
    </xf>
    <xf numFmtId="167" fontId="0" fillId="0" borderId="0" xfId="0" applyNumberFormat="1" applyAlignment="1">
      <alignment horizontal="left"/>
    </xf>
    <xf numFmtId="0" fontId="8" fillId="2" borderId="0" xfId="0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wrapText="1"/>
    </xf>
  </cellXfs>
  <cellStyles count="1">
    <cellStyle name="Normal" xfId="0" builtinId="0"/>
  </cellStyles>
  <dxfs count="30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</dxfs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s-CL"/>
              <a:t>Velocity and Remaining Work</a:t>
            </a:r>
          </a:p>
        </c:rich>
      </c:tx>
      <c:layout>
        <c:manualLayout>
          <c:xMode val="edge"/>
          <c:yMode val="edge"/>
          <c:x val="0.24070225977850329"/>
          <c:y val="1.659802566962427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925465278778027E-2"/>
          <c:y val="0.11203684110752782"/>
          <c:w val="0.89829091712637565"/>
          <c:h val="0.78840740038630686"/>
        </c:manualLayout>
      </c:layout>
      <c:lineChart>
        <c:grouping val="standard"/>
        <c:varyColors val="0"/>
        <c:ser>
          <c:idx val="0"/>
          <c:order val="0"/>
          <c:tx>
            <c:v>Remaining Work</c:v>
          </c:tx>
          <c:spPr>
            <a:ln w="19050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4"/>
                <c:pt idx="0">
                  <c:v>487</c:v>
                </c:pt>
                <c:pt idx="1">
                  <c:v>432</c:v>
                </c:pt>
                <c:pt idx="2">
                  <c:v>377</c:v>
                </c:pt>
                <c:pt idx="3">
                  <c:v>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B6-4408-A8F0-3796A1B4B14A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4"/>
                <c:pt idx="0">
                  <c:v>487</c:v>
                </c:pt>
                <c:pt idx="1">
                  <c:v>432</c:v>
                </c:pt>
                <c:pt idx="2">
                  <c:v>377</c:v>
                </c:pt>
                <c:pt idx="3">
                  <c:v>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B6-4408-A8F0-3796A1B4B14A}"/>
            </c:ext>
          </c:extLst>
        </c:ser>
        <c:ser>
          <c:idx val="5"/>
          <c:order val="2"/>
          <c:tx>
            <c:v>Current bottom</c:v>
          </c:tx>
          <c:spPr>
            <a:ln w="12700">
              <a:solidFill>
                <a:srgbClr val="DD0806"/>
              </a:solidFill>
              <a:prstDash val="solid"/>
            </a:ln>
          </c:spPr>
          <c:marker>
            <c:symbol val="none"/>
          </c:marker>
          <c:val>
            <c:numRef>
              <c:f>[0]!PBCurrentBottom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0B6-4408-A8F0-3796A1B4B14A}"/>
            </c:ext>
          </c:extLst>
        </c:ser>
        <c:ser>
          <c:idx val="2"/>
          <c:order val="3"/>
          <c:spPr>
            <a:ln w="19050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0B6-4408-A8F0-3796A1B4B14A}"/>
            </c:ext>
          </c:extLst>
        </c:ser>
        <c:ser>
          <c:idx val="4"/>
          <c:order val="4"/>
          <c:tx>
            <c:v>Trend</c:v>
          </c:tx>
          <c:spPr>
            <a:ln w="25400">
              <a:solidFill>
                <a:srgbClr val="6711FF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4600A5"/>
              </a:solidFill>
              <a:ln>
                <a:solidFill>
                  <a:srgbClr val="4600A5"/>
                </a:solidFill>
                <a:prstDash val="solid"/>
              </a:ln>
            </c:spPr>
          </c:marker>
          <c:val>
            <c:numRef>
              <c:f>[0]!PBTrend</c:f>
              <c:numCache>
                <c:formatCode>General</c:formatCode>
                <c:ptCount val="6"/>
                <c:pt idx="0">
                  <c:v>555</c:v>
                </c:pt>
                <c:pt idx="1">
                  <c:v>466</c:v>
                </c:pt>
                <c:pt idx="2">
                  <c:v>377</c:v>
                </c:pt>
                <c:pt idx="3">
                  <c:v>288</c:v>
                </c:pt>
                <c:pt idx="4">
                  <c:v>199</c:v>
                </c:pt>
                <c:pt idx="5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0B6-4408-A8F0-3796A1B4B14A}"/>
            </c:ext>
          </c:extLst>
        </c:ser>
        <c:ser>
          <c:idx val="3"/>
          <c:order val="5"/>
          <c:tx>
            <c:v>Current Scope</c:v>
          </c:tx>
          <c:spPr>
            <a:ln w="19050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0B6-4408-A8F0-3796A1B4B1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30"/>
          <c:upBars>
            <c:spPr>
              <a:solidFill>
                <a:srgbClr val="FFFFFF"/>
              </a:solidFill>
              <a:ln w="3175">
                <a:solidFill>
                  <a:srgbClr val="000000"/>
                </a:solidFill>
                <a:prstDash val="solid"/>
              </a:ln>
            </c:spPr>
          </c:upBars>
          <c:downBars>
            <c:spPr>
              <a:solidFill>
                <a:srgbClr val="63AAFE"/>
              </a:solidFill>
              <a:ln w="3175">
                <a:solidFill>
                  <a:srgbClr val="000000"/>
                </a:solidFill>
                <a:prstDash val="solid"/>
              </a:ln>
            </c:spPr>
          </c:downBars>
        </c:upDownBars>
        <c:smooth val="0"/>
        <c:axId val="747416159"/>
        <c:axId val="1"/>
      </c:lineChart>
      <c:catAx>
        <c:axId val="7474161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1"/>
        <c:crosses val="autoZero"/>
        <c:auto val="1"/>
        <c:lblAlgn val="ctr"/>
        <c:lblOffset val="2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747416159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s-CL"/>
              <a:t>Development Velocity</a:t>
            </a:r>
          </a:p>
        </c:rich>
      </c:tx>
      <c:layout>
        <c:manualLayout>
          <c:xMode val="edge"/>
          <c:yMode val="edge"/>
          <c:x val="0.30522053645733305"/>
          <c:y val="3.38359018352277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925465278778027E-2"/>
          <c:y val="0.12030474764308415"/>
          <c:w val="0.89580945050447958"/>
          <c:h val="0.6767142054923484"/>
        </c:manualLayout>
      </c:layout>
      <c:barChart>
        <c:barDir val="col"/>
        <c:grouping val="clustered"/>
        <c:varyColors val="0"/>
        <c:ser>
          <c:idx val="4"/>
          <c:order val="0"/>
          <c:tx>
            <c:v>Planned Speed</c:v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[0]!PlannedSpeed</c:f>
              <c:numCache>
                <c:formatCode>General</c:formatCode>
                <c:ptCount val="4"/>
                <c:pt idx="0">
                  <c:v>55</c:v>
                </c:pt>
                <c:pt idx="1">
                  <c:v>55</c:v>
                </c:pt>
                <c:pt idx="2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90-4E7F-9F22-AA9A10260944}"/>
            </c:ext>
          </c:extLst>
        </c:ser>
        <c:ser>
          <c:idx val="0"/>
          <c:order val="1"/>
          <c:tx>
            <c:v>Realized Speed</c:v>
          </c:tx>
          <c:spPr>
            <a:solidFill>
              <a:srgbClr val="63AAFE"/>
            </a:solidFill>
            <a:ln w="12700">
              <a:solidFill>
                <a:srgbClr val="000000"/>
              </a:solidFill>
              <a:prstDash val="solid"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val>
            <c:numRef>
              <c:f>[0]!RealizedSpeed</c:f>
              <c:numCache>
                <c:formatCode>General</c:formatCode>
                <c:ptCount val="4"/>
                <c:pt idx="0">
                  <c:v>55</c:v>
                </c:pt>
                <c:pt idx="1">
                  <c:v>55</c:v>
                </c:pt>
                <c:pt idx="2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90-4E7F-9F22-AA9A102609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747414911"/>
        <c:axId val="1"/>
      </c:barChart>
      <c:lineChart>
        <c:grouping val="standard"/>
        <c:varyColors val="0"/>
        <c:ser>
          <c:idx val="1"/>
          <c:order val="2"/>
          <c:tx>
            <c:v>Average Realized</c:v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none"/>
          </c:marker>
          <c:val>
            <c:numRef>
              <c:f>[0]!AverageSpeedRealized</c:f>
              <c:numCache>
                <c:formatCode>0.0</c:formatCode>
                <c:ptCount val="4"/>
                <c:pt idx="0">
                  <c:v>66.333333333333329</c:v>
                </c:pt>
                <c:pt idx="1">
                  <c:v>66.333333333333329</c:v>
                </c:pt>
                <c:pt idx="2">
                  <c:v>66.333333333333329</c:v>
                </c:pt>
                <c:pt idx="3">
                  <c:v>66.333333333333329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90-4E7F-9F22-AA9A10260944}"/>
            </c:ext>
          </c:extLst>
        </c:ser>
        <c:ser>
          <c:idx val="2"/>
          <c:order val="3"/>
          <c:tx>
            <c:v>Avg. Last 8</c:v>
          </c:tx>
          <c:spPr>
            <a:ln w="25400">
              <a:solidFill>
                <a:srgbClr val="006411"/>
              </a:solidFill>
              <a:prstDash val="lgDashDotDot"/>
            </a:ln>
          </c:spPr>
          <c:marker>
            <c:symbol val="none"/>
          </c:marker>
          <c:val>
            <c:numRef>
              <c:f>[0]!AverageSpeedLastEight</c:f>
              <c:numCache>
                <c:formatCode>0.0</c:formatCode>
                <c:ptCount val="4"/>
                <c:pt idx="0">
                  <c:v>66.333333333333329</c:v>
                </c:pt>
                <c:pt idx="1">
                  <c:v>66.333333333333329</c:v>
                </c:pt>
                <c:pt idx="2">
                  <c:v>66.333333333333329</c:v>
                </c:pt>
                <c:pt idx="3">
                  <c:v>66.333333333333329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F90-4E7F-9F22-AA9A10260944}"/>
            </c:ext>
          </c:extLst>
        </c:ser>
        <c:ser>
          <c:idx val="3"/>
          <c:order val="4"/>
          <c:tx>
            <c:v>Avg. Worst 3 in Last 8</c:v>
          </c:tx>
          <c:spPr>
            <a:ln w="25400">
              <a:solidFill>
                <a:srgbClr val="0000D4"/>
              </a:solidFill>
              <a:prstDash val="sysDash"/>
            </a:ln>
          </c:spPr>
          <c:marker>
            <c:symbol val="none"/>
          </c:marker>
          <c:val>
            <c:numRef>
              <c:f>[0]!AverageSpeedWorstThree</c:f>
              <c:numCache>
                <c:formatCode>0.0</c:formatCode>
                <c:ptCount val="4"/>
                <c:pt idx="0">
                  <c:v>66.333333333333329</c:v>
                </c:pt>
                <c:pt idx="1">
                  <c:v>66.333333333333329</c:v>
                </c:pt>
                <c:pt idx="2">
                  <c:v>66.333333333333329</c:v>
                </c:pt>
                <c:pt idx="3">
                  <c:v>66.333333333333329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F90-4E7F-9F22-AA9A102609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414911"/>
        <c:axId val="1"/>
      </c:lineChart>
      <c:catAx>
        <c:axId val="747414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747414911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1303587051618553E-2"/>
          <c:y val="0.87746131928061522"/>
          <c:w val="0.84284659539508777"/>
          <c:h val="0.1070075676338123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71303104038381"/>
          <c:y val="0.10577346745368002"/>
          <c:w val="0.83924638657553829"/>
          <c:h val="0.79810889078685832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63AAFE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'Sp1'!$F$10:$AD$10</c:f>
              <c:numCache>
                <c:formatCode>General</c:formatCode>
                <c:ptCount val="25"/>
                <c:pt idx="0">
                  <c:v>57</c:v>
                </c:pt>
                <c:pt idx="1">
                  <c:v>54</c:v>
                </c:pt>
                <c:pt idx="2">
                  <c:v>48</c:v>
                </c:pt>
                <c:pt idx="3">
                  <c:v>45</c:v>
                </c:pt>
                <c:pt idx="4">
                  <c:v>39</c:v>
                </c:pt>
                <c:pt idx="5">
                  <c:v>0</c:v>
                </c:pt>
                <c:pt idx="6">
                  <c:v>0</c:v>
                </c:pt>
                <c:pt idx="7">
                  <c:v>34</c:v>
                </c:pt>
                <c:pt idx="8">
                  <c:v>28</c:v>
                </c:pt>
                <c:pt idx="9">
                  <c:v>22</c:v>
                </c:pt>
                <c:pt idx="10">
                  <c:v>18</c:v>
                </c:pt>
                <c:pt idx="11">
                  <c:v>13</c:v>
                </c:pt>
                <c:pt idx="12">
                  <c:v>7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0D-4397-A471-143937706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7413247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'Sp1'!$F$11:$AD$11</c:f>
              <c:numCache>
                <c:formatCode>General</c:formatCode>
                <c:ptCount val="25"/>
                <c:pt idx="0">
                  <c:v>61</c:v>
                </c:pt>
                <c:pt idx="1">
                  <c:v>56.642857142857146</c:v>
                </c:pt>
                <c:pt idx="2">
                  <c:v>52.285714285714285</c:v>
                </c:pt>
                <c:pt idx="3">
                  <c:v>47.928571428571431</c:v>
                </c:pt>
                <c:pt idx="4">
                  <c:v>43.571428571428569</c:v>
                </c:pt>
                <c:pt idx="5">
                  <c:v>39.214285714285715</c:v>
                </c:pt>
                <c:pt idx="6">
                  <c:v>34.857142857142861</c:v>
                </c:pt>
                <c:pt idx="7">
                  <c:v>30.500000000000004</c:v>
                </c:pt>
                <c:pt idx="8">
                  <c:v>26.142857142857146</c:v>
                </c:pt>
                <c:pt idx="9">
                  <c:v>21.785714285714292</c:v>
                </c:pt>
                <c:pt idx="10">
                  <c:v>17.428571428571431</c:v>
                </c:pt>
                <c:pt idx="11">
                  <c:v>13.071428571428577</c:v>
                </c:pt>
                <c:pt idx="12">
                  <c:v>8.7142857142857224</c:v>
                </c:pt>
                <c:pt idx="13">
                  <c:v>4.3571428571428612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0D-4397-A471-143937706D52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val>
            <c:numRef>
              <c:f>'Sp1'!$F$12:$AD$12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0D-4397-A471-143937706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413247"/>
        <c:axId val="1"/>
      </c:lineChart>
      <c:catAx>
        <c:axId val="747413247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2424257457094003"/>
              <c:y val="0.153851968503937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747413247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3621413945240766E-3"/>
          <c:y val="0.10000393700787402"/>
          <c:w val="0.11126353676299847"/>
          <c:h val="0.3650149606299212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71303104038381"/>
          <c:y val="0.10577346745368002"/>
          <c:w val="0.83924638657553829"/>
          <c:h val="0.79810889078685832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63AAFE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'Sp2'!$F$10:$AD$10</c:f>
              <c:numCache>
                <c:formatCode>General</c:formatCode>
                <c:ptCount val="25"/>
                <c:pt idx="0">
                  <c:v>50</c:v>
                </c:pt>
                <c:pt idx="1">
                  <c:v>45</c:v>
                </c:pt>
                <c:pt idx="2">
                  <c:v>40</c:v>
                </c:pt>
                <c:pt idx="3">
                  <c:v>35</c:v>
                </c:pt>
                <c:pt idx="4">
                  <c:v>30</c:v>
                </c:pt>
                <c:pt idx="5">
                  <c:v>0</c:v>
                </c:pt>
                <c:pt idx="6">
                  <c:v>30</c:v>
                </c:pt>
                <c:pt idx="7">
                  <c:v>25</c:v>
                </c:pt>
                <c:pt idx="8">
                  <c:v>20</c:v>
                </c:pt>
                <c:pt idx="9">
                  <c:v>15</c:v>
                </c:pt>
                <c:pt idx="10">
                  <c:v>10</c:v>
                </c:pt>
                <c:pt idx="11">
                  <c:v>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EA-4BEC-8575-4DAC97B91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7413247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'Sp2'!$F$11:$AD$11</c:f>
              <c:numCache>
                <c:formatCode>General</c:formatCode>
                <c:ptCount val="25"/>
                <c:pt idx="0">
                  <c:v>55</c:v>
                </c:pt>
                <c:pt idx="1">
                  <c:v>51.071428571428569</c:v>
                </c:pt>
                <c:pt idx="2">
                  <c:v>47.142857142857146</c:v>
                </c:pt>
                <c:pt idx="3">
                  <c:v>43.214285714285715</c:v>
                </c:pt>
                <c:pt idx="4">
                  <c:v>39.285714285714285</c:v>
                </c:pt>
                <c:pt idx="5">
                  <c:v>35.357142857142861</c:v>
                </c:pt>
                <c:pt idx="6">
                  <c:v>31.428571428571431</c:v>
                </c:pt>
                <c:pt idx="7">
                  <c:v>27.5</c:v>
                </c:pt>
                <c:pt idx="8">
                  <c:v>23.571428571428573</c:v>
                </c:pt>
                <c:pt idx="9">
                  <c:v>19.642857142857146</c:v>
                </c:pt>
                <c:pt idx="10">
                  <c:v>15.714285714285715</c:v>
                </c:pt>
                <c:pt idx="11">
                  <c:v>11.785714285714285</c:v>
                </c:pt>
                <c:pt idx="12">
                  <c:v>7.8571428571428612</c:v>
                </c:pt>
                <c:pt idx="13">
                  <c:v>3.9285714285714306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EA-4BEC-8575-4DAC97B910A8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val>
            <c:numRef>
              <c:f>'Sp2'!$F$12:$AD$12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EA-4BEC-8575-4DAC97B91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413247"/>
        <c:axId val="1"/>
      </c:lineChart>
      <c:catAx>
        <c:axId val="747413247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2424257457094003"/>
              <c:y val="0.153851968503937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747413247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3621413945240766E-3"/>
          <c:y val="0.10000393700787402"/>
          <c:w val="0.11126353676299847"/>
          <c:h val="0.3650149606299212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34837482557326"/>
          <c:y val="0.10577346745368002"/>
          <c:w val="0.83802832215380318"/>
          <c:h val="0.79810889078685832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63AAFE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'Sprint Sheet Template'!$F$10:$AD$10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30-43E0-9849-C08E613A49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7411583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'Sprint Sheet Template'!$F$11:$AD$11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30-43E0-9849-C08E613A49E4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val>
            <c:numRef>
              <c:f>'Sprint Sheet Template'!$F$12:$AD$12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E30-43E0-9849-C08E613A49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411583"/>
        <c:axId val="1"/>
      </c:lineChart>
      <c:catAx>
        <c:axId val="747411583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2424257457094003"/>
              <c:y val="0.153851968503937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747411583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3621413945240766E-3"/>
          <c:y val="0.10000393700787402"/>
          <c:w val="0.11126353676299847"/>
          <c:h val="0.3650149606299212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361950</xdr:colOff>
          <xdr:row>0</xdr:row>
          <xdr:rowOff>101600</xdr:rowOff>
        </xdr:from>
        <xdr:to>
          <xdr:col>6</xdr:col>
          <xdr:colOff>603250</xdr:colOff>
          <xdr:row>1</xdr:row>
          <xdr:rowOff>82550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1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Product Backlog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171450</xdr:colOff>
      <xdr:row>1</xdr:row>
      <xdr:rowOff>50800</xdr:rowOff>
    </xdr:from>
    <xdr:to>
      <xdr:col>24</xdr:col>
      <xdr:colOff>546100</xdr:colOff>
      <xdr:row>19</xdr:row>
      <xdr:rowOff>133350</xdr:rowOff>
    </xdr:to>
    <xdr:graphicFrame macro="">
      <xdr:nvGraphicFramePr>
        <xdr:cNvPr id="18454" name="Chart 2">
          <a:extLst>
            <a:ext uri="{FF2B5EF4-FFF2-40B4-BE49-F238E27FC236}">
              <a16:creationId xmlns:a16="http://schemas.microsoft.com/office/drawing/2014/main" id="{00000000-0008-0000-0200-0000164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184150</xdr:colOff>
      <xdr:row>20</xdr:row>
      <xdr:rowOff>50800</xdr:rowOff>
    </xdr:from>
    <xdr:to>
      <xdr:col>24</xdr:col>
      <xdr:colOff>558800</xdr:colOff>
      <xdr:row>36</xdr:row>
      <xdr:rowOff>101600</xdr:rowOff>
    </xdr:to>
    <xdr:graphicFrame macro="">
      <xdr:nvGraphicFramePr>
        <xdr:cNvPr id="18455" name="Chart 17">
          <a:extLst>
            <a:ext uri="{FF2B5EF4-FFF2-40B4-BE49-F238E27FC236}">
              <a16:creationId xmlns:a16="http://schemas.microsoft.com/office/drawing/2014/main" id="{00000000-0008-0000-0200-0000174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508000</xdr:colOff>
      <xdr:row>0</xdr:row>
      <xdr:rowOff>38100</xdr:rowOff>
    </xdr:from>
    <xdr:to>
      <xdr:col>30</xdr:col>
      <xdr:colOff>44450</xdr:colOff>
      <xdr:row>7</xdr:row>
      <xdr:rowOff>133350</xdr:rowOff>
    </xdr:to>
    <xdr:graphicFrame macro="">
      <xdr:nvGraphicFramePr>
        <xdr:cNvPr id="17419" name="Chart 2">
          <a:extLst>
            <a:ext uri="{FF2B5EF4-FFF2-40B4-BE49-F238E27FC236}">
              <a16:creationId xmlns:a16="http://schemas.microsoft.com/office/drawing/2014/main" id="{00000000-0008-0000-0300-00000B4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241300</xdr:colOff>
          <xdr:row>5</xdr:row>
          <xdr:rowOff>82550</xdr:rowOff>
        </xdr:from>
        <xdr:to>
          <xdr:col>0</xdr:col>
          <xdr:colOff>2101850</xdr:colOff>
          <xdr:row>7</xdr:row>
          <xdr:rowOff>25400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3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Sprint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2362200</xdr:colOff>
          <xdr:row>5</xdr:row>
          <xdr:rowOff>82550</xdr:rowOff>
        </xdr:from>
        <xdr:to>
          <xdr:col>2</xdr:col>
          <xdr:colOff>311150</xdr:colOff>
          <xdr:row>7</xdr:row>
          <xdr:rowOff>25400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3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Task Slips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508000</xdr:colOff>
      <xdr:row>0</xdr:row>
      <xdr:rowOff>38100</xdr:rowOff>
    </xdr:from>
    <xdr:to>
      <xdr:col>30</xdr:col>
      <xdr:colOff>44450</xdr:colOff>
      <xdr:row>7</xdr:row>
      <xdr:rowOff>133350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241300</xdr:colOff>
          <xdr:row>5</xdr:row>
          <xdr:rowOff>82550</xdr:rowOff>
        </xdr:from>
        <xdr:to>
          <xdr:col>0</xdr:col>
          <xdr:colOff>2101850</xdr:colOff>
          <xdr:row>7</xdr:row>
          <xdr:rowOff>25400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Sprint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2362200</xdr:colOff>
          <xdr:row>5</xdr:row>
          <xdr:rowOff>82550</xdr:rowOff>
        </xdr:from>
        <xdr:to>
          <xdr:col>2</xdr:col>
          <xdr:colOff>311150</xdr:colOff>
          <xdr:row>7</xdr:row>
          <xdr:rowOff>25400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4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Task Slips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508000</xdr:colOff>
      <xdr:row>0</xdr:row>
      <xdr:rowOff>38100</xdr:rowOff>
    </xdr:from>
    <xdr:to>
      <xdr:col>30</xdr:col>
      <xdr:colOff>44450</xdr:colOff>
      <xdr:row>7</xdr:row>
      <xdr:rowOff>133350</xdr:rowOff>
    </xdr:to>
    <xdr:graphicFrame macro="">
      <xdr:nvGraphicFramePr>
        <xdr:cNvPr id="14353" name="Chart 2">
          <a:extLst>
            <a:ext uri="{FF2B5EF4-FFF2-40B4-BE49-F238E27FC236}">
              <a16:creationId xmlns:a16="http://schemas.microsoft.com/office/drawing/2014/main" id="{00000000-0008-0000-0500-0000113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241300</xdr:colOff>
          <xdr:row>5</xdr:row>
          <xdr:rowOff>82550</xdr:rowOff>
        </xdr:from>
        <xdr:to>
          <xdr:col>0</xdr:col>
          <xdr:colOff>1803400</xdr:colOff>
          <xdr:row>7</xdr:row>
          <xdr:rowOff>25400</xdr:rowOff>
        </xdr:to>
        <xdr:sp macro="" textlink="">
          <xdr:nvSpPr>
            <xdr:cNvPr id="14349" name="Button 13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00000000-0008-0000-0500-00000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Sprint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2095500</xdr:colOff>
          <xdr:row>5</xdr:row>
          <xdr:rowOff>82550</xdr:rowOff>
        </xdr:from>
        <xdr:to>
          <xdr:col>2</xdr:col>
          <xdr:colOff>234950</xdr:colOff>
          <xdr:row>7</xdr:row>
          <xdr:rowOff>25400</xdr:rowOff>
        </xdr:to>
        <xdr:sp macro="" textlink="">
          <xdr:nvSpPr>
            <xdr:cNvPr id="14350" name="Button 14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:a16="http://schemas.microsoft.com/office/drawing/2014/main" id="{00000000-0008-0000-0500-00000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Task Slips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omments" Target="../comments4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omments" Target="../comments5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1"/>
  <sheetViews>
    <sheetView workbookViewId="0">
      <selection activeCell="G5" sqref="G5"/>
    </sheetView>
  </sheetViews>
  <sheetFormatPr baseColWidth="10" defaultColWidth="8.81640625" defaultRowHeight="12.5" x14ac:dyDescent="0.25"/>
  <cols>
    <col min="1" max="1" width="7.81640625" customWidth="1"/>
    <col min="2" max="2" width="10.453125" customWidth="1"/>
    <col min="3" max="3" width="9.453125" customWidth="1"/>
    <col min="4" max="5" width="10.6328125" customWidth="1"/>
    <col min="7" max="7" width="13.6328125" style="2" customWidth="1"/>
    <col min="8" max="8" width="48.54296875" customWidth="1"/>
    <col min="9" max="9" width="10.6328125" customWidth="1"/>
  </cols>
  <sheetData>
    <row r="1" spans="1:10" ht="17.5" x14ac:dyDescent="0.35">
      <c r="A1" s="15" t="s">
        <v>15</v>
      </c>
    </row>
    <row r="3" spans="1:10" ht="13" x14ac:dyDescent="0.3">
      <c r="A3" s="9" t="s">
        <v>16</v>
      </c>
      <c r="B3" s="47" t="s">
        <v>1</v>
      </c>
      <c r="C3" s="48" t="s">
        <v>30</v>
      </c>
      <c r="D3" s="48" t="s">
        <v>2</v>
      </c>
      <c r="E3" s="47" t="s">
        <v>18</v>
      </c>
      <c r="F3" s="10" t="s">
        <v>3</v>
      </c>
      <c r="G3" s="47" t="s">
        <v>4</v>
      </c>
      <c r="H3" s="11" t="s">
        <v>0</v>
      </c>
      <c r="I3" s="1"/>
      <c r="J3" s="1"/>
    </row>
    <row r="4" spans="1:10" x14ac:dyDescent="0.25">
      <c r="A4" s="12">
        <v>1</v>
      </c>
      <c r="B4" s="44">
        <f>IF(OR(B16="",A4=""),"",B16)</f>
        <v>43192</v>
      </c>
      <c r="C4" s="25">
        <v>58</v>
      </c>
      <c r="D4" s="44">
        <f>IF(OR(B4="",C4=""),"",B4+C4-1)</f>
        <v>43249</v>
      </c>
      <c r="E4" s="22">
        <f>IF(A4="","",SUMIF(I$16:I$30,'Release Plan'!A4,E$16:E$30))</f>
        <v>110</v>
      </c>
      <c r="F4" s="4" t="s">
        <v>19</v>
      </c>
      <c r="G4" s="49"/>
      <c r="H4" s="6"/>
    </row>
    <row r="5" spans="1:10" x14ac:dyDescent="0.25">
      <c r="A5" s="13">
        <v>2</v>
      </c>
      <c r="B5" s="41">
        <f>IF(A5="","",B4+C4)</f>
        <v>43250</v>
      </c>
      <c r="C5" s="22">
        <v>26</v>
      </c>
      <c r="D5" s="41">
        <f t="shared" ref="D5:D10" si="0">IF(OR(B5="",C5=""),"",B5+C5-1)</f>
        <v>43275</v>
      </c>
      <c r="E5" s="22">
        <f>IF(A5="","",SUMIF(I$16:I$30,'Release Plan'!A5,E$16:E$30))</f>
        <v>0</v>
      </c>
      <c r="F5" s="4" t="s">
        <v>19</v>
      </c>
      <c r="G5" s="50"/>
      <c r="H5" s="7"/>
    </row>
    <row r="6" spans="1:10" x14ac:dyDescent="0.25">
      <c r="A6" s="13"/>
      <c r="B6" s="41"/>
      <c r="C6" s="22" t="str">
        <f t="shared" ref="C6:C10" si="1">IF(A6="","",SUMIF(I$16:I$30,A6,C$16:C$30))</f>
        <v/>
      </c>
      <c r="D6" s="41" t="str">
        <f t="shared" si="0"/>
        <v/>
      </c>
      <c r="E6" s="22" t="str">
        <f>IF(A6="","",SUMIF(I$16:I$30,'Release Plan'!A6,E$16:E$30))</f>
        <v/>
      </c>
      <c r="F6" s="4"/>
      <c r="G6" s="50"/>
      <c r="H6" s="7"/>
    </row>
    <row r="7" spans="1:10" x14ac:dyDescent="0.25">
      <c r="A7" s="13"/>
      <c r="B7" s="41"/>
      <c r="C7" s="22" t="str">
        <f t="shared" si="1"/>
        <v/>
      </c>
      <c r="D7" s="41" t="str">
        <f t="shared" si="0"/>
        <v/>
      </c>
      <c r="E7" s="22" t="str">
        <f>IF(A7="","",SUMIF(I$16:I$30,'Release Plan'!A7,E$16:E$30))</f>
        <v/>
      </c>
      <c r="F7" s="4"/>
      <c r="G7" s="50"/>
      <c r="H7" s="7"/>
    </row>
    <row r="8" spans="1:10" x14ac:dyDescent="0.25">
      <c r="A8" s="13"/>
      <c r="B8" s="41"/>
      <c r="C8" s="22" t="str">
        <f t="shared" si="1"/>
        <v/>
      </c>
      <c r="D8" s="41" t="str">
        <f t="shared" si="0"/>
        <v/>
      </c>
      <c r="E8" s="22" t="str">
        <f>IF(A8="","",SUMIF(I$16:I$30,'Release Plan'!A8,E$16:E$30))</f>
        <v/>
      </c>
      <c r="F8" s="4"/>
      <c r="G8" s="50"/>
      <c r="H8" s="7"/>
    </row>
    <row r="9" spans="1:10" x14ac:dyDescent="0.25">
      <c r="A9" s="13"/>
      <c r="B9" s="41"/>
      <c r="C9" s="22" t="str">
        <f t="shared" si="1"/>
        <v/>
      </c>
      <c r="D9" s="41" t="str">
        <f t="shared" si="0"/>
        <v/>
      </c>
      <c r="E9" s="22" t="str">
        <f>IF(A9="","",SUMIF(I$16:I$30,'Release Plan'!A9,E$16:E$30))</f>
        <v/>
      </c>
      <c r="F9" s="4"/>
      <c r="G9" s="50"/>
      <c r="H9" s="7"/>
    </row>
    <row r="10" spans="1:10" x14ac:dyDescent="0.25">
      <c r="A10" s="14"/>
      <c r="B10" s="42"/>
      <c r="C10" s="43" t="str">
        <f t="shared" si="1"/>
        <v/>
      </c>
      <c r="D10" s="42" t="str">
        <f t="shared" si="0"/>
        <v/>
      </c>
      <c r="E10" s="43" t="str">
        <f>IF(A10="","",SUMIF(I$16:I$30,'Release Plan'!A10,E$16:E$30))</f>
        <v/>
      </c>
      <c r="F10" s="5"/>
      <c r="G10" s="51"/>
      <c r="H10" s="8"/>
    </row>
    <row r="11" spans="1:10" ht="13" x14ac:dyDescent="0.3">
      <c r="A11" s="38" t="s">
        <v>31</v>
      </c>
    </row>
    <row r="13" spans="1:10" ht="17.5" x14ac:dyDescent="0.35">
      <c r="A13" s="15" t="s">
        <v>14</v>
      </c>
    </row>
    <row r="15" spans="1:10" ht="13" x14ac:dyDescent="0.3">
      <c r="A15" s="9" t="s">
        <v>13</v>
      </c>
      <c r="B15" s="47" t="s">
        <v>120</v>
      </c>
      <c r="C15" s="47" t="s">
        <v>121</v>
      </c>
      <c r="D15" s="47" t="s">
        <v>122</v>
      </c>
      <c r="E15" s="47" t="s">
        <v>123</v>
      </c>
      <c r="F15" s="10" t="s">
        <v>124</v>
      </c>
      <c r="G15" s="47" t="s">
        <v>4</v>
      </c>
      <c r="H15" s="75" t="s">
        <v>0</v>
      </c>
      <c r="I15" s="53" t="s">
        <v>32</v>
      </c>
      <c r="J15" s="1"/>
    </row>
    <row r="16" spans="1:10" x14ac:dyDescent="0.25">
      <c r="A16" s="22">
        <v>1</v>
      </c>
      <c r="B16" s="79">
        <v>43192</v>
      </c>
      <c r="C16" s="27">
        <v>14</v>
      </c>
      <c r="D16" s="26">
        <f t="shared" ref="D16:D30" si="2">IF(AND(B16&lt;&gt;"",C16&lt;&gt;""),B16+C16-1,"")</f>
        <v>43205</v>
      </c>
      <c r="E16" s="22">
        <f>IF(A16="","",SUMIF('Product Backlog'!E$5:E$103,'Release Plan'!A16,'Product Backlog'!D$5:D$103))</f>
        <v>55</v>
      </c>
      <c r="F16" s="4" t="s">
        <v>119</v>
      </c>
      <c r="G16" s="27"/>
      <c r="H16" s="28" t="s">
        <v>77</v>
      </c>
      <c r="I16" s="74">
        <v>1</v>
      </c>
    </row>
    <row r="17" spans="1:9" x14ac:dyDescent="0.25">
      <c r="A17" s="22">
        <v>2</v>
      </c>
      <c r="B17" s="26">
        <f>IF(AND(B16&lt;&gt;"",C16&lt;&gt;"",C17&lt;&gt;""),B16+C16,"")</f>
        <v>43206</v>
      </c>
      <c r="C17" s="27">
        <v>14</v>
      </c>
      <c r="D17" s="26">
        <f>IF(AND(B17&lt;&gt;"",C17&lt;&gt;""),B17+C17-1,"")</f>
        <v>43219</v>
      </c>
      <c r="E17" s="22">
        <f>IF(A17="","",SUMIF('Product Backlog'!E$5:E$103,'Release Plan'!A17,'Product Backlog'!D$5:D$103))</f>
        <v>55</v>
      </c>
      <c r="F17" s="4" t="s">
        <v>119</v>
      </c>
      <c r="G17" s="27"/>
      <c r="H17" s="29" t="s">
        <v>73</v>
      </c>
      <c r="I17" s="39">
        <v>1</v>
      </c>
    </row>
    <row r="18" spans="1:9" x14ac:dyDescent="0.25">
      <c r="A18" s="22">
        <v>3</v>
      </c>
      <c r="B18" s="26">
        <f>IF(AND(B17&lt;&gt;"",C17&lt;&gt;"",C18&lt;&gt;""),B17+C17,"")</f>
        <v>43220</v>
      </c>
      <c r="C18" s="27">
        <v>15</v>
      </c>
      <c r="D18" s="26">
        <f>IF(AND(B18&lt;&gt;"",C18&lt;&gt;""),B18+C18-1,"")</f>
        <v>43234</v>
      </c>
      <c r="E18" s="22">
        <f>IF(A18="","",SUMIF('Product Backlog'!E$5:E$103,'Release Plan'!A18,'Product Backlog'!D$5:D$103))</f>
        <v>0</v>
      </c>
      <c r="F18" s="4" t="s">
        <v>82</v>
      </c>
      <c r="G18" s="27"/>
      <c r="H18" s="29" t="s">
        <v>73</v>
      </c>
      <c r="I18" s="39">
        <v>1</v>
      </c>
    </row>
    <row r="19" spans="1:9" x14ac:dyDescent="0.25">
      <c r="A19" s="22">
        <v>4</v>
      </c>
      <c r="B19" s="26">
        <f>IF(AND(B18&lt;&gt;"",C18&lt;&gt;"",C19&lt;&gt;""),B18+C18,"")</f>
        <v>43235</v>
      </c>
      <c r="C19" s="27">
        <v>15</v>
      </c>
      <c r="D19" s="26">
        <f>IF(AND(B19&lt;&gt;"",C19&lt;&gt;""),B19+C19-1,"")</f>
        <v>43249</v>
      </c>
      <c r="E19" s="22">
        <f>IF(A19="","",SUMIF('Product Backlog'!E$5:E$103,'Release Plan'!A19,'Product Backlog'!D$5:D$103))</f>
        <v>0</v>
      </c>
      <c r="F19" s="4" t="str">
        <f>IF(AND(OR(F18="Planned",F18="Ongoing"),C19&lt;&gt;""),"Planned","Unplanned")</f>
        <v>Planned</v>
      </c>
      <c r="G19" s="27"/>
      <c r="H19" s="29" t="s">
        <v>73</v>
      </c>
      <c r="I19" s="39">
        <v>1</v>
      </c>
    </row>
    <row r="20" spans="1:9" x14ac:dyDescent="0.25">
      <c r="A20" s="22">
        <v>5</v>
      </c>
      <c r="B20" s="26">
        <f>IF(AND(B19&lt;&gt;"",C19&lt;&gt;"",C20&lt;&gt;""),B19+C19,"")</f>
        <v>43250</v>
      </c>
      <c r="C20" s="27">
        <v>14</v>
      </c>
      <c r="D20" s="26">
        <f>IF(AND(B20&lt;&gt;"",C20&lt;&gt;""),B20+C20-1,"")</f>
        <v>43263</v>
      </c>
      <c r="E20" s="22">
        <f>IF(A20="","",SUMIF('Product Backlog'!E$5:E$103,'Release Plan'!A20,'Product Backlog'!D$5:D$103))</f>
        <v>0</v>
      </c>
      <c r="F20" s="4" t="str">
        <f>IF(AND(OR(F19="Planned",F19="Ongoing"),C20&lt;&gt;""),"Planned","Unplanned")</f>
        <v>Planned</v>
      </c>
      <c r="G20" s="27"/>
      <c r="H20" s="29" t="s">
        <v>74</v>
      </c>
      <c r="I20" s="39">
        <v>2</v>
      </c>
    </row>
    <row r="21" spans="1:9" x14ac:dyDescent="0.25">
      <c r="A21" s="22">
        <v>6</v>
      </c>
      <c r="B21" s="26">
        <f>IF(AND(B20&lt;&gt;"",C20&lt;&gt;"",C21&lt;&gt;""),B20+C20,"")</f>
        <v>43264</v>
      </c>
      <c r="C21" s="27">
        <v>14</v>
      </c>
      <c r="D21" s="26">
        <f>IF(AND(B21&lt;&gt;"",C21&lt;&gt;""),B21+C21-1,"")</f>
        <v>43277</v>
      </c>
      <c r="E21" s="22">
        <f>IF(A21="","",SUMIF('Product Backlog'!E$5:E$103,'Release Plan'!A21,'Product Backlog'!D$5:D$103))</f>
        <v>0</v>
      </c>
      <c r="F21" s="4" t="str">
        <f>IF(AND(OR(F20="Planned",F20="Ongoing"),C21&lt;&gt;""),"Planned","Unplanned")</f>
        <v>Planned</v>
      </c>
      <c r="G21" s="27"/>
      <c r="H21" s="29" t="s">
        <v>75</v>
      </c>
      <c r="I21" s="39">
        <v>2</v>
      </c>
    </row>
    <row r="22" spans="1:9" x14ac:dyDescent="0.25">
      <c r="A22" s="22" t="str">
        <f t="shared" ref="A22:A30" si="3">IF(AND(B22&lt;&gt;"",C22&lt;&gt;""),A21+1,"")</f>
        <v/>
      </c>
      <c r="B22" s="26" t="str">
        <f t="shared" ref="B22:B30" si="4">IF(AND(B21&lt;&gt;"",C21&lt;&gt;"",C22&lt;&gt;""),B21+C21,"")</f>
        <v/>
      </c>
      <c r="C22" s="27"/>
      <c r="D22" s="26" t="str">
        <f t="shared" si="2"/>
        <v/>
      </c>
      <c r="E22" s="22" t="str">
        <f>IF(A22="","",SUMIF('Product Backlog'!E$6:E$103,'Release Plan'!A22,'Product Backlog'!D$6:D$103))</f>
        <v/>
      </c>
      <c r="F22" s="4" t="str">
        <f t="shared" ref="F22:F30" si="5">IF(AND(OR(F21="Planned",F21="Ongoing"),C22&lt;&gt;""),"Planned","Unplanned")</f>
        <v>Unplanned</v>
      </c>
      <c r="G22" s="27"/>
      <c r="H22" s="29"/>
      <c r="I22" s="39"/>
    </row>
    <row r="23" spans="1:9" hidden="1" x14ac:dyDescent="0.25">
      <c r="A23" s="22" t="str">
        <f t="shared" si="3"/>
        <v/>
      </c>
      <c r="B23" s="26" t="str">
        <f t="shared" si="4"/>
        <v/>
      </c>
      <c r="C23" s="27"/>
      <c r="D23" s="26" t="str">
        <f t="shared" si="2"/>
        <v/>
      </c>
      <c r="E23" s="22" t="str">
        <f>IF(A23="","",SUMIF('Product Backlog'!E$6:E$103,'Release Plan'!A23,'Product Backlog'!D$6:D$103))</f>
        <v/>
      </c>
      <c r="F23" s="4" t="str">
        <f t="shared" si="5"/>
        <v>Unplanned</v>
      </c>
      <c r="G23" s="27"/>
      <c r="H23" s="29"/>
      <c r="I23" s="39"/>
    </row>
    <row r="24" spans="1:9" hidden="1" x14ac:dyDescent="0.25">
      <c r="A24" s="22" t="str">
        <f t="shared" si="3"/>
        <v/>
      </c>
      <c r="B24" s="26" t="str">
        <f t="shared" si="4"/>
        <v/>
      </c>
      <c r="C24" s="27"/>
      <c r="D24" s="26" t="str">
        <f t="shared" si="2"/>
        <v/>
      </c>
      <c r="E24" s="22" t="str">
        <f>IF(A24="","",SUMIF('Product Backlog'!E$6:E$103,'Release Plan'!A24,'Product Backlog'!D$6:D$103))</f>
        <v/>
      </c>
      <c r="F24" s="4" t="str">
        <f t="shared" si="5"/>
        <v>Unplanned</v>
      </c>
      <c r="G24" s="27"/>
      <c r="H24" s="29"/>
      <c r="I24" s="39"/>
    </row>
    <row r="25" spans="1:9" hidden="1" x14ac:dyDescent="0.25">
      <c r="A25" s="22" t="str">
        <f t="shared" si="3"/>
        <v/>
      </c>
      <c r="B25" s="26" t="str">
        <f t="shared" si="4"/>
        <v/>
      </c>
      <c r="C25" s="27"/>
      <c r="D25" s="26" t="str">
        <f t="shared" si="2"/>
        <v/>
      </c>
      <c r="E25" s="22" t="str">
        <f>IF(A25="","",SUMIF('Product Backlog'!E$6:E$103,'Release Plan'!A25,'Product Backlog'!D$6:D$103))</f>
        <v/>
      </c>
      <c r="F25" s="4" t="str">
        <f t="shared" si="5"/>
        <v>Unplanned</v>
      </c>
      <c r="G25" s="27"/>
      <c r="H25" s="29"/>
      <c r="I25" s="39"/>
    </row>
    <row r="26" spans="1:9" hidden="1" x14ac:dyDescent="0.25">
      <c r="A26" s="22" t="str">
        <f t="shared" si="3"/>
        <v/>
      </c>
      <c r="B26" s="26" t="str">
        <f t="shared" si="4"/>
        <v/>
      </c>
      <c r="C26" s="27"/>
      <c r="D26" s="26" t="str">
        <f t="shared" si="2"/>
        <v/>
      </c>
      <c r="E26" s="22" t="str">
        <f>IF(A26="","",SUMIF('Product Backlog'!E$6:E$103,'Release Plan'!A26,'Product Backlog'!D$6:D$103))</f>
        <v/>
      </c>
      <c r="F26" s="4" t="str">
        <f t="shared" si="5"/>
        <v>Unplanned</v>
      </c>
      <c r="G26" s="27"/>
      <c r="H26" s="29"/>
      <c r="I26" s="39"/>
    </row>
    <row r="27" spans="1:9" hidden="1" x14ac:dyDescent="0.25">
      <c r="A27" s="22" t="str">
        <f t="shared" si="3"/>
        <v/>
      </c>
      <c r="B27" s="26" t="str">
        <f t="shared" si="4"/>
        <v/>
      </c>
      <c r="C27" s="27"/>
      <c r="D27" s="26" t="str">
        <f t="shared" si="2"/>
        <v/>
      </c>
      <c r="E27" s="22" t="str">
        <f>IF(A27="","",SUMIF('Product Backlog'!E$6:E$103,'Release Plan'!A27,'Product Backlog'!D$6:D$103))</f>
        <v/>
      </c>
      <c r="F27" s="4" t="str">
        <f t="shared" si="5"/>
        <v>Unplanned</v>
      </c>
      <c r="G27" s="27"/>
      <c r="H27" s="29"/>
      <c r="I27" s="39"/>
    </row>
    <row r="28" spans="1:9" hidden="1" x14ac:dyDescent="0.25">
      <c r="A28" s="22" t="str">
        <f t="shared" si="3"/>
        <v/>
      </c>
      <c r="B28" s="26" t="str">
        <f t="shared" si="4"/>
        <v/>
      </c>
      <c r="C28" s="27"/>
      <c r="D28" s="26" t="str">
        <f t="shared" si="2"/>
        <v/>
      </c>
      <c r="E28" s="22" t="str">
        <f>IF(A28="","",SUMIF('Product Backlog'!E$6:E$103,'Release Plan'!A28,'Product Backlog'!D$6:D$103))</f>
        <v/>
      </c>
      <c r="F28" s="4" t="str">
        <f t="shared" si="5"/>
        <v>Unplanned</v>
      </c>
      <c r="G28" s="27"/>
      <c r="H28" s="29"/>
      <c r="I28" s="39"/>
    </row>
    <row r="29" spans="1:9" hidden="1" x14ac:dyDescent="0.25">
      <c r="A29" s="22" t="str">
        <f t="shared" si="3"/>
        <v/>
      </c>
      <c r="B29" s="26" t="str">
        <f t="shared" si="4"/>
        <v/>
      </c>
      <c r="C29" s="27"/>
      <c r="D29" s="26" t="str">
        <f t="shared" si="2"/>
        <v/>
      </c>
      <c r="E29" s="22" t="str">
        <f>IF(A29="","",SUMIF('Product Backlog'!E$6:E$103,'Release Plan'!A29,'Product Backlog'!D$6:D$103))</f>
        <v/>
      </c>
      <c r="F29" s="4" t="str">
        <f t="shared" si="5"/>
        <v>Unplanned</v>
      </c>
      <c r="G29" s="27"/>
      <c r="H29" s="29"/>
      <c r="I29" s="39"/>
    </row>
    <row r="30" spans="1:9" hidden="1" x14ac:dyDescent="0.25">
      <c r="A30" s="22" t="str">
        <f t="shared" si="3"/>
        <v/>
      </c>
      <c r="B30" s="26" t="str">
        <f t="shared" si="4"/>
        <v/>
      </c>
      <c r="C30" s="27"/>
      <c r="D30" s="26" t="str">
        <f t="shared" si="2"/>
        <v/>
      </c>
      <c r="E30" s="22" t="str">
        <f>IF(A30="","",SUMIF('Product Backlog'!E$6:E$103,'Release Plan'!A30,'Product Backlog'!D$6:D$103))</f>
        <v/>
      </c>
      <c r="F30" s="4" t="str">
        <f t="shared" si="5"/>
        <v>Unplanned</v>
      </c>
      <c r="G30" s="27"/>
      <c r="H30" s="30"/>
      <c r="I30" s="40"/>
    </row>
    <row r="31" spans="1:9" ht="13" x14ac:dyDescent="0.3">
      <c r="A31" s="23"/>
      <c r="B31" s="23"/>
      <c r="C31" s="23"/>
      <c r="D31" s="24" t="s">
        <v>20</v>
      </c>
      <c r="E31" s="25">
        <f>SUMIF('Product Backlog'!E$6:E$103,"",'Product Backlog'!D$6:D$103)-SUMIF('Product Backlog'!C$6:C$103,"Removed",'Product Backlog'!D$6:D$103)</f>
        <v>377</v>
      </c>
      <c r="F31" s="23"/>
      <c r="G31" s="52"/>
      <c r="H31" s="23"/>
    </row>
  </sheetData>
  <phoneticPr fontId="2" type="noConversion"/>
  <conditionalFormatting sqref="G4:H10 E31 E5:E10 A4:D10">
    <cfRule type="expression" dxfId="29" priority="1" stopIfTrue="1">
      <formula>$F4="Planned"</formula>
    </cfRule>
    <cfRule type="expression" dxfId="28" priority="2" stopIfTrue="1">
      <formula>$F4="Ongoing"</formula>
    </cfRule>
  </conditionalFormatting>
  <conditionalFormatting sqref="F4:F10 F16:F30">
    <cfRule type="expression" dxfId="27" priority="3" stopIfTrue="1">
      <formula>$F4="Planned"</formula>
    </cfRule>
    <cfRule type="expression" dxfId="26" priority="4" stopIfTrue="1">
      <formula>$F4="Ongoing"</formula>
    </cfRule>
    <cfRule type="cellIs" dxfId="25" priority="5" stopIfTrue="1" operator="equal">
      <formula>"Unplanned"</formula>
    </cfRule>
  </conditionalFormatting>
  <conditionalFormatting sqref="E4 G16:H30 A16:E30">
    <cfRule type="expression" dxfId="24" priority="6" stopIfTrue="1">
      <formula>OR($F4="Planned",$F4="Unplanned")</formula>
    </cfRule>
    <cfRule type="expression" dxfId="23" priority="7" stopIfTrue="1">
      <formula>$F4="Ongoing"</formula>
    </cfRule>
  </conditionalFormatting>
  <dataValidations count="1">
    <dataValidation type="list" allowBlank="1" showInputMessage="1" showErrorMessage="1" sqref="F4:F10 F16:F30" xr:uid="{00000000-0002-0000-0000-000000000000}">
      <formula1>"Planned,Ongoing,Released,Unplanned"</formula1>
    </dataValidation>
  </dataValidations>
  <pageMargins left="0.75" right="0.75" top="1" bottom="1" header="0.5" footer="0.5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J53"/>
  <sheetViews>
    <sheetView workbookViewId="0">
      <pane ySplit="4" topLeftCell="A5" activePane="bottomLeft" state="frozen"/>
      <selection pane="bottomLeft" activeCell="E16" sqref="E16"/>
    </sheetView>
  </sheetViews>
  <sheetFormatPr baseColWidth="10" defaultColWidth="9.1796875" defaultRowHeight="12.5" x14ac:dyDescent="0.25"/>
  <cols>
    <col min="1" max="1" width="14.1796875" style="34" customWidth="1"/>
    <col min="2" max="2" width="39.36328125" style="32" customWidth="1"/>
    <col min="3" max="3" width="10.81640625" style="34" customWidth="1"/>
    <col min="4" max="6" width="9.1796875" style="34"/>
    <col min="7" max="7" width="39.453125" style="32" customWidth="1"/>
    <col min="8" max="16384" width="9.1796875" style="35"/>
  </cols>
  <sheetData>
    <row r="1" spans="1:7" ht="17.5" x14ac:dyDescent="0.25">
      <c r="A1" s="54" t="s">
        <v>5</v>
      </c>
      <c r="C1" s="33" t="s">
        <v>78</v>
      </c>
    </row>
    <row r="2" spans="1:7" x14ac:dyDescent="0.25">
      <c r="D2" s="78"/>
    </row>
    <row r="4" spans="1:7" ht="13.5" thickBot="1" x14ac:dyDescent="0.3">
      <c r="A4" s="45" t="s">
        <v>21</v>
      </c>
      <c r="B4" s="46" t="s">
        <v>6</v>
      </c>
      <c r="C4" s="45" t="s">
        <v>3</v>
      </c>
      <c r="D4" s="45" t="s">
        <v>18</v>
      </c>
      <c r="E4" s="45" t="s">
        <v>13</v>
      </c>
      <c r="F4" s="45" t="s">
        <v>76</v>
      </c>
      <c r="G4" s="46" t="s">
        <v>28</v>
      </c>
    </row>
    <row r="5" spans="1:7" x14ac:dyDescent="0.25">
      <c r="A5" s="34" t="s">
        <v>100</v>
      </c>
      <c r="B5" s="102" t="s">
        <v>108</v>
      </c>
      <c r="C5" s="34" t="s">
        <v>79</v>
      </c>
      <c r="D5" s="34">
        <v>55</v>
      </c>
      <c r="E5" s="34">
        <v>1</v>
      </c>
      <c r="F5" s="103" t="s">
        <v>115</v>
      </c>
    </row>
    <row r="6" spans="1:7" x14ac:dyDescent="0.25">
      <c r="A6" s="34" t="s">
        <v>101</v>
      </c>
      <c r="B6" s="102" t="s">
        <v>109</v>
      </c>
      <c r="C6" s="34" t="s">
        <v>19</v>
      </c>
      <c r="D6" s="34">
        <v>55</v>
      </c>
      <c r="F6" s="103" t="s">
        <v>116</v>
      </c>
    </row>
    <row r="7" spans="1:7" x14ac:dyDescent="0.25">
      <c r="A7" s="34" t="s">
        <v>102</v>
      </c>
      <c r="B7" s="102" t="s">
        <v>110</v>
      </c>
      <c r="C7" s="34" t="s">
        <v>79</v>
      </c>
      <c r="D7" s="34">
        <v>55</v>
      </c>
      <c r="E7" s="34">
        <v>2</v>
      </c>
      <c r="F7" s="103" t="s">
        <v>115</v>
      </c>
    </row>
    <row r="8" spans="1:7" x14ac:dyDescent="0.25">
      <c r="A8" s="34" t="s">
        <v>103</v>
      </c>
      <c r="B8" s="102" t="s">
        <v>111</v>
      </c>
      <c r="C8" s="34" t="s">
        <v>19</v>
      </c>
      <c r="D8" s="34">
        <v>55</v>
      </c>
      <c r="F8" s="103" t="s">
        <v>117</v>
      </c>
    </row>
    <row r="9" spans="1:7" x14ac:dyDescent="0.25">
      <c r="A9" s="34" t="s">
        <v>104</v>
      </c>
      <c r="B9" s="102" t="s">
        <v>118</v>
      </c>
      <c r="C9" s="34" t="s">
        <v>19</v>
      </c>
      <c r="D9" s="34">
        <v>34</v>
      </c>
      <c r="F9" s="103" t="s">
        <v>117</v>
      </c>
    </row>
    <row r="10" spans="1:7" ht="26.25" customHeight="1" x14ac:dyDescent="0.25">
      <c r="A10" s="34" t="s">
        <v>105</v>
      </c>
      <c r="B10" s="102" t="s">
        <v>112</v>
      </c>
      <c r="C10" s="34" t="s">
        <v>19</v>
      </c>
      <c r="D10" s="34">
        <v>89</v>
      </c>
      <c r="F10" s="103" t="s">
        <v>115</v>
      </c>
    </row>
    <row r="11" spans="1:7" ht="26.25" customHeight="1" x14ac:dyDescent="0.25">
      <c r="A11" s="34" t="s">
        <v>106</v>
      </c>
      <c r="B11" s="102" t="s">
        <v>113</v>
      </c>
      <c r="C11" s="34" t="s">
        <v>19</v>
      </c>
      <c r="D11" s="34">
        <v>89</v>
      </c>
      <c r="F11" s="103" t="s">
        <v>115</v>
      </c>
    </row>
    <row r="12" spans="1:7" x14ac:dyDescent="0.25">
      <c r="A12" s="34" t="s">
        <v>107</v>
      </c>
      <c r="B12" s="102" t="s">
        <v>114</v>
      </c>
      <c r="C12" s="34" t="s">
        <v>19</v>
      </c>
      <c r="D12" s="34">
        <v>55</v>
      </c>
      <c r="F12" s="103" t="s">
        <v>115</v>
      </c>
    </row>
    <row r="29" spans="2:2" x14ac:dyDescent="0.25">
      <c r="B29" s="35"/>
    </row>
    <row r="37" spans="7:10" x14ac:dyDescent="0.25">
      <c r="J37" s="76"/>
    </row>
    <row r="42" spans="7:10" x14ac:dyDescent="0.25">
      <c r="G42" s="77"/>
    </row>
    <row r="53" spans="1:6" x14ac:dyDescent="0.25">
      <c r="A53" s="35"/>
      <c r="B53" s="35"/>
      <c r="C53" s="35"/>
      <c r="D53" s="35"/>
      <c r="E53" s="35"/>
      <c r="F53" s="35"/>
    </row>
  </sheetData>
  <sortState ref="A5:G12">
    <sortCondition ref="A5"/>
  </sortState>
  <phoneticPr fontId="2" type="noConversion"/>
  <conditionalFormatting sqref="G44:G52 C45:C46 G23:G41 B11:F44 A54:G163 B47:F52 G11:G21 A4:G5 B6:G10 A6:A52">
    <cfRule type="expression" dxfId="22" priority="1" stopIfTrue="1">
      <formula>$C4="Done"</formula>
    </cfRule>
    <cfRule type="expression" dxfId="21" priority="2" stopIfTrue="1">
      <formula>$C4="Ongoing"</formula>
    </cfRule>
    <cfRule type="expression" dxfId="20" priority="3" stopIfTrue="1">
      <formula>$C4="Removed"</formula>
    </cfRule>
  </conditionalFormatting>
  <conditionalFormatting sqref="G53">
    <cfRule type="expression" dxfId="19" priority="4" stopIfTrue="1">
      <formula>#REF!="Done"</formula>
    </cfRule>
    <cfRule type="expression" dxfId="18" priority="5" stopIfTrue="1">
      <formula>#REF!="Ongoing"</formula>
    </cfRule>
    <cfRule type="expression" dxfId="17" priority="6" stopIfTrue="1">
      <formula>#REF!="Removed"</formula>
    </cfRule>
  </conditionalFormatting>
  <conditionalFormatting sqref="G42:G43">
    <cfRule type="expression" dxfId="16" priority="7" stopIfTrue="1">
      <formula>#REF!="Done"</formula>
    </cfRule>
    <cfRule type="expression" dxfId="15" priority="8" stopIfTrue="1">
      <formula>#REF!="Ongoing"</formula>
    </cfRule>
    <cfRule type="expression" dxfId="14" priority="9" stopIfTrue="1">
      <formula>#REF!="Removed"</formula>
    </cfRule>
  </conditionalFormatting>
  <conditionalFormatting sqref="G22">
    <cfRule type="expression" dxfId="13" priority="10" stopIfTrue="1">
      <formula>#REF!="Done"</formula>
    </cfRule>
    <cfRule type="expression" dxfId="12" priority="11" stopIfTrue="1">
      <formula>#REF!="Ongoing"</formula>
    </cfRule>
    <cfRule type="expression" dxfId="11" priority="12" stopIfTrue="1">
      <formula>#REF!="Removed"</formula>
    </cfRule>
  </conditionalFormatting>
  <dataValidations count="1">
    <dataValidation type="list" allowBlank="1" showInputMessage="1" sqref="C54:C163 C4 C6:C52" xr:uid="{00000000-0002-0000-0100-000000000000}">
      <formula1>"Planned,Ongoing,Done,Removed"</formula1>
    </dataValidation>
  </dataValidations>
  <pageMargins left="0.75" right="0.75" top="1" bottom="1" header="0.5" footer="0.5"/>
  <pageSetup paperSize="9" scale="84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4" name="Button 4">
              <controlPr defaultSize="0" print="0" autoFill="0" autoPict="0" macro="[0]!SortProductBacklog">
                <anchor>
                  <from>
                    <xdr:col>3</xdr:col>
                    <xdr:colOff>361950</xdr:colOff>
                    <xdr:row>0</xdr:row>
                    <xdr:rowOff>101600</xdr:rowOff>
                  </from>
                  <to>
                    <xdr:col>6</xdr:col>
                    <xdr:colOff>603250</xdr:colOff>
                    <xdr:row>1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Z33"/>
  <sheetViews>
    <sheetView workbookViewId="0">
      <selection activeCell="D4" sqref="D4"/>
    </sheetView>
  </sheetViews>
  <sheetFormatPr baseColWidth="10" defaultColWidth="8.81640625" defaultRowHeight="12.5" x14ac:dyDescent="0.25"/>
  <cols>
    <col min="1" max="1" width="11.81640625" customWidth="1"/>
    <col min="5" max="5" width="14.453125" customWidth="1"/>
    <col min="6" max="6" width="15.6328125" hidden="1" customWidth="1"/>
    <col min="7" max="8" width="5.453125" hidden="1" customWidth="1"/>
    <col min="9" max="9" width="7.36328125" hidden="1" customWidth="1"/>
    <col min="10" max="10" width="4.36328125" hidden="1" customWidth="1"/>
    <col min="11" max="13" width="6.81640625" hidden="1" customWidth="1"/>
    <col min="14" max="16" width="9.1796875" hidden="1" customWidth="1"/>
    <col min="17" max="17" width="10.453125" hidden="1" customWidth="1"/>
  </cols>
  <sheetData>
    <row r="1" spans="1:26" ht="17.5" x14ac:dyDescent="0.25">
      <c r="A1" s="54" t="s">
        <v>33</v>
      </c>
    </row>
    <row r="3" spans="1:26" x14ac:dyDescent="0.25">
      <c r="A3" t="s">
        <v>37</v>
      </c>
      <c r="D3">
        <v>487</v>
      </c>
      <c r="F3" t="s">
        <v>39</v>
      </c>
      <c r="G3" s="55">
        <f>IF(COUNT(B28:B33)=0,1,COUNT(B28:B33))</f>
        <v>4</v>
      </c>
    </row>
    <row r="4" spans="1:26" x14ac:dyDescent="0.25">
      <c r="A4" s="104" t="s">
        <v>40</v>
      </c>
      <c r="D4">
        <v>2</v>
      </c>
      <c r="E4" t="s">
        <v>41</v>
      </c>
      <c r="F4" t="s">
        <v>58</v>
      </c>
      <c r="G4" s="55">
        <f>IF(COUNT(D28:D33)=0,1,COUNT(D28:D33)+1)</f>
        <v>4</v>
      </c>
    </row>
    <row r="5" spans="1:26" ht="13" x14ac:dyDescent="0.3">
      <c r="F5" t="s">
        <v>42</v>
      </c>
      <c r="G5" s="55">
        <f>IF(G4&gt;D4,G4-D4,0)</f>
        <v>2</v>
      </c>
      <c r="Z5" s="38" t="s">
        <v>85</v>
      </c>
    </row>
    <row r="6" spans="1:26" ht="13" x14ac:dyDescent="0.3">
      <c r="A6" s="1" t="s">
        <v>72</v>
      </c>
      <c r="F6" t="s">
        <v>43</v>
      </c>
      <c r="G6" s="55">
        <f>TrendSprintCount-TrendOffset</f>
        <v>2</v>
      </c>
      <c r="Z6" s="38" t="s">
        <v>86</v>
      </c>
    </row>
    <row r="7" spans="1:26" ht="13" x14ac:dyDescent="0.3">
      <c r="A7" t="s">
        <v>46</v>
      </c>
      <c r="D7">
        <v>60</v>
      </c>
      <c r="Z7" s="38" t="s">
        <v>89</v>
      </c>
    </row>
    <row r="8" spans="1:26" ht="13" x14ac:dyDescent="0.3">
      <c r="A8" s="107">
        <f>D$4</f>
        <v>2</v>
      </c>
      <c r="B8" s="107"/>
      <c r="D8" s="58">
        <f ca="1">IF(D28="","",AVERAGE(OFFSET(D27,TrendOffset,0,SprintsInTrend,1)))</f>
        <v>72</v>
      </c>
      <c r="Z8" s="38" t="s">
        <v>90</v>
      </c>
    </row>
    <row r="9" spans="1:26" ht="13" x14ac:dyDescent="0.3">
      <c r="A9" t="s">
        <v>59</v>
      </c>
      <c r="D9" s="58">
        <f ca="1">IF(D28="","",AVERAGE(OFFSET(D27,1,0,SprintCount,1)))</f>
        <v>66.333333333333329</v>
      </c>
      <c r="F9" t="s">
        <v>51</v>
      </c>
      <c r="G9" s="55">
        <f ca="1">IF(M28="",1,COUNT(M28:M92))</f>
        <v>6</v>
      </c>
      <c r="Z9" s="38" t="s">
        <v>91</v>
      </c>
    </row>
    <row r="10" spans="1:26" ht="13" x14ac:dyDescent="0.3">
      <c r="A10" t="s">
        <v>48</v>
      </c>
      <c r="D10" s="58">
        <f ca="1">IF(D28="","",AVERAGE(LastEight))</f>
        <v>66.333333333333329</v>
      </c>
      <c r="Z10" s="38" t="s">
        <v>87</v>
      </c>
    </row>
    <row r="11" spans="1:26" ht="13" x14ac:dyDescent="0.3">
      <c r="A11" t="s">
        <v>49</v>
      </c>
      <c r="D11" s="58">
        <f ca="1">IF(D28="","",IF(TrendSprintCount&lt;4,D10,AVERAGE(SMALL(LastEight,1),SMALL(LastEight,2),SMALL(LastEight,3))))</f>
        <v>66.333333333333329</v>
      </c>
      <c r="Z11" s="38" t="s">
        <v>88</v>
      </c>
    </row>
    <row r="12" spans="1:26" ht="13" x14ac:dyDescent="0.3">
      <c r="A12" t="s">
        <v>24</v>
      </c>
      <c r="D12" s="58">
        <f ca="1">IF(M29="","",M28-M29)</f>
        <v>89</v>
      </c>
      <c r="Z12" s="38" t="s">
        <v>92</v>
      </c>
    </row>
    <row r="13" spans="1:26" ht="13" x14ac:dyDescent="0.3">
      <c r="F13" s="56" t="s">
        <v>52</v>
      </c>
      <c r="Z13" s="38" t="s">
        <v>93</v>
      </c>
    </row>
    <row r="14" spans="1:26" ht="13" x14ac:dyDescent="0.3">
      <c r="A14" s="1" t="s">
        <v>53</v>
      </c>
    </row>
    <row r="15" spans="1:26" x14ac:dyDescent="0.25">
      <c r="A15" t="s">
        <v>54</v>
      </c>
      <c r="D15" s="59">
        <f>IF(D7="",0,ROUNDUP(D3/D7*0.6,0))</f>
        <v>5</v>
      </c>
    </row>
    <row r="16" spans="1:26" x14ac:dyDescent="0.25">
      <c r="A16" t="s">
        <v>56</v>
      </c>
      <c r="D16" s="59">
        <f>IF(D7="",0,ROUNDUP(D3/D7,0))</f>
        <v>9</v>
      </c>
    </row>
    <row r="17" spans="1:17" x14ac:dyDescent="0.25">
      <c r="A17" t="s">
        <v>55</v>
      </c>
      <c r="D17" s="59">
        <f>IF(D7="",0,ROUNDUP(D3/D7*1.6,0))</f>
        <v>13</v>
      </c>
      <c r="F17" t="s">
        <v>60</v>
      </c>
      <c r="G17">
        <f>IF(OR(D28="",D29=""),1,STDEV(D28:D33))</f>
        <v>19.629909152447269</v>
      </c>
    </row>
    <row r="18" spans="1:17" x14ac:dyDescent="0.25">
      <c r="A18" s="107">
        <f>D$4</f>
        <v>2</v>
      </c>
      <c r="B18" s="107"/>
      <c r="D18" s="59">
        <f ca="1">IF(D8="","",IF(LastRealized="",ROUNDUP(LastPlanned/D8,0)+SprintCount-1,ROUNDUP((LastPlanned-LastRealized)/D8+SprintCount,0)))</f>
        <v>7</v>
      </c>
    </row>
    <row r="19" spans="1:17" x14ac:dyDescent="0.25">
      <c r="A19" t="s">
        <v>47</v>
      </c>
      <c r="D19" s="59">
        <f ca="1">IF(D9="","",IF(LastRealized="",ROUNDUP(LastPlanned/D9+SprintCount-1,0),ROUNDUP((LastPlanned-LastRealized)/D9,0)+SprintCount))</f>
        <v>8</v>
      </c>
      <c r="F19" t="s">
        <v>63</v>
      </c>
      <c r="G19">
        <f ca="1">LastPlanned</f>
        <v>288</v>
      </c>
    </row>
    <row r="20" spans="1:17" x14ac:dyDescent="0.25">
      <c r="A20" t="s">
        <v>48</v>
      </c>
      <c r="D20" s="59">
        <f ca="1">IF(D10="","",IF(LastRealized="",ROUNDUP(LastPlanned/D10+SprintCount-1,0),ROUNDUP((LastPlanned-LastRealized)/D10,0)+SprintCount))</f>
        <v>8</v>
      </c>
      <c r="F20" t="s">
        <v>64</v>
      </c>
      <c r="G20">
        <f ca="1">LastRealized</f>
        <v>0</v>
      </c>
    </row>
    <row r="21" spans="1:17" x14ac:dyDescent="0.25">
      <c r="A21" t="s">
        <v>49</v>
      </c>
      <c r="D21" s="59">
        <f ca="1">IF(D11="","",IF(LastRealized="",ROUNDUP(LastPlanned/D11+SprintCount-1,0),ROUNDUP((LastPlanned-LastRealized)/D11,0)+SprintCount))</f>
        <v>8</v>
      </c>
    </row>
    <row r="22" spans="1:17" x14ac:dyDescent="0.25">
      <c r="A22" t="s">
        <v>24</v>
      </c>
      <c r="D22" s="59">
        <f ca="1">IF(COUNT(M28:M33)-1&gt;0,COUNT(M28:M33)-1,"")</f>
        <v>5</v>
      </c>
    </row>
    <row r="23" spans="1:17" x14ac:dyDescent="0.25">
      <c r="A23" t="s">
        <v>61</v>
      </c>
      <c r="D23" s="59">
        <f ca="1">IF(D9="","",IF(LastRealized="",ROUNDUP(LastPlanned/(D9+G17)+SprintCount-1,0),ROUNDUP((LastPlanned-LastRealized)/(D9+G17)+SprintCount,0)))</f>
        <v>7</v>
      </c>
    </row>
    <row r="24" spans="1:17" x14ac:dyDescent="0.25">
      <c r="A24" t="s">
        <v>62</v>
      </c>
      <c r="D24" s="59">
        <f ca="1">IF(D9="","",IF(LastRealized="",ROUNDUP(LastPlanned/(D9-G17)+SprintCount-1,0),ROUNDUP((LastPlanned-LastRealized)/(D9-G17)+SprintCount,0)))</f>
        <v>10</v>
      </c>
    </row>
    <row r="26" spans="1:17" ht="12.75" customHeight="1" x14ac:dyDescent="0.3">
      <c r="F26" s="109" t="s">
        <v>24</v>
      </c>
      <c r="G26" s="109"/>
      <c r="H26" s="109"/>
      <c r="I26" s="109"/>
      <c r="J26" s="109"/>
      <c r="K26" s="109"/>
      <c r="L26" s="109"/>
      <c r="M26" s="109"/>
      <c r="N26" s="109"/>
      <c r="O26" s="109" t="s">
        <v>69</v>
      </c>
      <c r="P26" s="109"/>
      <c r="Q26" s="109"/>
    </row>
    <row r="27" spans="1:17" s="3" customFormat="1" ht="26.5" thickBot="1" x14ac:dyDescent="0.35">
      <c r="A27" s="60" t="s">
        <v>13</v>
      </c>
      <c r="B27" s="61" t="s">
        <v>65</v>
      </c>
      <c r="C27" s="61" t="s">
        <v>66</v>
      </c>
      <c r="D27" s="62" t="s">
        <v>67</v>
      </c>
      <c r="E27" s="62" t="s">
        <v>68</v>
      </c>
      <c r="F27" s="63" t="s">
        <v>35</v>
      </c>
      <c r="G27" s="108" t="s">
        <v>38</v>
      </c>
      <c r="H27" s="108"/>
      <c r="I27" s="63" t="s">
        <v>36</v>
      </c>
      <c r="J27" s="64"/>
      <c r="K27" s="63" t="s">
        <v>57</v>
      </c>
      <c r="L27" s="63" t="s">
        <v>50</v>
      </c>
      <c r="M27" s="63" t="s">
        <v>45</v>
      </c>
      <c r="N27" s="65" t="s">
        <v>44</v>
      </c>
      <c r="O27" s="63" t="s">
        <v>34</v>
      </c>
      <c r="P27" s="63" t="s">
        <v>70</v>
      </c>
      <c r="Q27" s="63" t="s">
        <v>71</v>
      </c>
    </row>
    <row r="28" spans="1:17" x14ac:dyDescent="0.25">
      <c r="A28" s="57">
        <v>1</v>
      </c>
      <c r="B28" s="2">
        <f>D3</f>
        <v>487</v>
      </c>
      <c r="C28" s="2">
        <f>'Product Backlog'!D7</f>
        <v>55</v>
      </c>
      <c r="D28" s="2">
        <v>55</v>
      </c>
      <c r="E28" s="57">
        <f>B28</f>
        <v>487</v>
      </c>
      <c r="F28" s="55">
        <f>B28</f>
        <v>487</v>
      </c>
      <c r="G28" s="55">
        <f t="shared" ref="G28:G33" si="0">F28</f>
        <v>487</v>
      </c>
      <c r="H28" s="55">
        <f t="shared" ref="H28:H33" si="1">I28</f>
        <v>0</v>
      </c>
      <c r="I28" s="55">
        <v>0</v>
      </c>
      <c r="K28">
        <f t="shared" ref="K28:K33" si="2">IF(F28&lt;I28,I28,F28)</f>
        <v>487</v>
      </c>
      <c r="L28" s="55">
        <f t="shared" ref="L28:L33" ca="1" si="3">IF(TREND(OFFSET($K$27,TrendOffset+1,0,SprintsInTrend,1),OFFSET($A$27,TrendOffset+1,0,SprintsInTrend,1),A28)&lt;N28,N28,TREND(OFFSET($K$27,TrendOffset+1,0,SprintsInTrend,1),OFFSET($A$27,TrendOffset+1,0,SprintsInTrend,1),A28))</f>
        <v>555</v>
      </c>
      <c r="M28" s="55">
        <f ca="1">L28</f>
        <v>555</v>
      </c>
      <c r="N28" s="55">
        <f t="shared" ref="N28:N33" ca="1" si="4">OFFSET($I$27,TrendSprintCount,0,1,1)</f>
        <v>0</v>
      </c>
      <c r="O28" s="66">
        <f t="shared" ref="O28:O33" ca="1" si="5">D$9</f>
        <v>66.333333333333329</v>
      </c>
      <c r="P28" s="66">
        <f t="shared" ref="P28:P33" ca="1" si="6">D$10</f>
        <v>66.333333333333329</v>
      </c>
      <c r="Q28" s="66">
        <f t="shared" ref="Q28:Q33" ca="1" si="7">D$11</f>
        <v>66.333333333333329</v>
      </c>
    </row>
    <row r="29" spans="1:17" x14ac:dyDescent="0.25">
      <c r="A29" s="57">
        <v>2</v>
      </c>
      <c r="B29" s="2">
        <f t="shared" ref="B29:B31" si="8">IF(OR(B28="",C28=""),"",IF(D28="",IF(B28-C28&lt;=0,"",B28-C28),IF(B28-D28&lt;=0,"",B28-D28)))</f>
        <v>432</v>
      </c>
      <c r="C29" s="2">
        <v>55</v>
      </c>
      <c r="D29" s="2">
        <v>55</v>
      </c>
      <c r="E29" s="57">
        <f>IF(B29="","",IF(D28="",E28,B29+SUM(D$28:D28)))</f>
        <v>487</v>
      </c>
      <c r="F29" s="55">
        <f t="shared" ref="F29:F33" si="9">IF(B29="",IF(B28="","",IF(D28="","",I28)),IF(AND(D28="",C28=""),"",IF(AND(D28="",C28&lt;&gt;""),IF(I28&gt;F28,F28,I28),F28-D28)))</f>
        <v>432</v>
      </c>
      <c r="G29" s="55">
        <f t="shared" si="0"/>
        <v>432</v>
      </c>
      <c r="H29" s="55">
        <f t="shared" si="1"/>
        <v>0</v>
      </c>
      <c r="I29" s="55">
        <f>IF(B29="",IF(B28="","",IF(D28="","",F28-D28)),IF(AND(C28="",D28=""),"",IF(AND(D28="",C28&lt;&gt;""),IF(I28&gt;F28,I28-C28,F28-C28),B$28-B29-SUM(D$28:D28))))</f>
        <v>0</v>
      </c>
      <c r="K29">
        <f t="shared" si="2"/>
        <v>432</v>
      </c>
      <c r="L29" s="55">
        <f t="shared" ca="1" si="3"/>
        <v>466</v>
      </c>
      <c r="M29" s="55">
        <f ca="1">IF(L29=L28,"",L29)</f>
        <v>466</v>
      </c>
      <c r="N29" s="55">
        <f t="shared" ca="1" si="4"/>
        <v>0</v>
      </c>
      <c r="O29" s="66">
        <f t="shared" ca="1" si="5"/>
        <v>66.333333333333329</v>
      </c>
      <c r="P29" s="66">
        <f t="shared" ca="1" si="6"/>
        <v>66.333333333333329</v>
      </c>
      <c r="Q29" s="66">
        <f t="shared" ca="1" si="7"/>
        <v>66.333333333333329</v>
      </c>
    </row>
    <row r="30" spans="1:17" x14ac:dyDescent="0.25">
      <c r="A30" s="57">
        <v>3</v>
      </c>
      <c r="B30" s="2">
        <f t="shared" si="8"/>
        <v>377</v>
      </c>
      <c r="C30" s="2">
        <v>89</v>
      </c>
      <c r="D30" s="2">
        <v>89</v>
      </c>
      <c r="E30" s="57">
        <f>IF(B30="","",IF(D29="",E29,B30+SUM(D$28:D29)))</f>
        <v>487</v>
      </c>
      <c r="F30" s="55">
        <f t="shared" si="9"/>
        <v>377</v>
      </c>
      <c r="G30" s="55">
        <f t="shared" si="0"/>
        <v>377</v>
      </c>
      <c r="H30" s="55">
        <f t="shared" si="1"/>
        <v>0</v>
      </c>
      <c r="I30" s="55">
        <f>IF(B30="",IF(B29="","",IF(D29="","",F29-D29)),IF(AND(C29="",D29=""),"",IF(AND(D29="",C29&lt;&gt;""),IF(I29&gt;F29,I29-C29,F29-C29),B$28-B30-SUM(D$28:D29))))</f>
        <v>0</v>
      </c>
      <c r="K30">
        <f t="shared" si="2"/>
        <v>377</v>
      </c>
      <c r="L30" s="55">
        <f t="shared" ca="1" si="3"/>
        <v>377</v>
      </c>
      <c r="M30" s="55">
        <f t="shared" ref="M30:M33" ca="1" si="10">IF(L30=L29,"",L30)</f>
        <v>377</v>
      </c>
      <c r="N30" s="55">
        <f t="shared" ca="1" si="4"/>
        <v>0</v>
      </c>
      <c r="O30" s="66">
        <f t="shared" ca="1" si="5"/>
        <v>66.333333333333329</v>
      </c>
      <c r="P30" s="66">
        <f t="shared" ca="1" si="6"/>
        <v>66.333333333333329</v>
      </c>
      <c r="Q30" s="66">
        <f t="shared" ca="1" si="7"/>
        <v>66.333333333333329</v>
      </c>
    </row>
    <row r="31" spans="1:17" x14ac:dyDescent="0.25">
      <c r="A31" s="57">
        <v>4</v>
      </c>
      <c r="B31" s="2">
        <f t="shared" si="8"/>
        <v>288</v>
      </c>
      <c r="C31" s="2"/>
      <c r="D31" s="2"/>
      <c r="E31" s="57">
        <f>IF(B31="","",IF(D30="",E30,B31+SUM(D$28:D30)))</f>
        <v>487</v>
      </c>
      <c r="F31" s="55">
        <f t="shared" si="9"/>
        <v>288</v>
      </c>
      <c r="G31" s="55">
        <f t="shared" si="0"/>
        <v>288</v>
      </c>
      <c r="H31" s="55">
        <f t="shared" si="1"/>
        <v>0</v>
      </c>
      <c r="I31" s="55">
        <f>IF(B31="",IF(B30="","",IF(D30="","",F30-D30)),IF(AND(C30="",D30=""),"",IF(AND(D30="",C30&lt;&gt;""),IF(I30&gt;F30,I30-C30,F30-C30),B$28-B31-SUM(D$28:D30))))</f>
        <v>0</v>
      </c>
      <c r="K31">
        <f t="shared" si="2"/>
        <v>288</v>
      </c>
      <c r="L31" s="55">
        <f t="shared" ca="1" si="3"/>
        <v>288</v>
      </c>
      <c r="M31" s="55">
        <f t="shared" ca="1" si="10"/>
        <v>288</v>
      </c>
      <c r="N31" s="55">
        <f t="shared" ca="1" si="4"/>
        <v>0</v>
      </c>
      <c r="O31" s="66">
        <f t="shared" ca="1" si="5"/>
        <v>66.333333333333329</v>
      </c>
      <c r="P31" s="66">
        <f t="shared" ca="1" si="6"/>
        <v>66.333333333333329</v>
      </c>
      <c r="Q31" s="66">
        <f t="shared" ca="1" si="7"/>
        <v>66.333333333333329</v>
      </c>
    </row>
    <row r="32" spans="1:17" x14ac:dyDescent="0.25">
      <c r="A32" s="57">
        <v>5</v>
      </c>
      <c r="B32" s="2" t="str">
        <f>IF(OR(B31="",C31=""),"",IF(D31="",IF(B31-C31&lt;=0,"",B31-C31),IF(B31-D31&lt;=0,"",B31-D31)))</f>
        <v/>
      </c>
      <c r="C32" s="2"/>
      <c r="D32" s="2"/>
      <c r="E32" s="57" t="str">
        <f>IF(B32="","",IF(D31="",E31,B32+SUM(D$28:D31)))</f>
        <v/>
      </c>
      <c r="F32" s="55" t="str">
        <f t="shared" si="9"/>
        <v/>
      </c>
      <c r="G32" s="55" t="str">
        <f t="shared" si="0"/>
        <v/>
      </c>
      <c r="H32" s="55" t="str">
        <f t="shared" si="1"/>
        <v/>
      </c>
      <c r="I32" s="55" t="str">
        <f>IF(B32="",IF(B31="","",IF(D31="","",F31-D31)),IF(AND(C31="",D31=""),"",IF(AND(D31="",C31&lt;&gt;""),IF(I31&gt;F31,I31-C31,F31-C31),B$28-B32-SUM(D$28:D31))))</f>
        <v/>
      </c>
      <c r="K32" t="str">
        <f t="shared" si="2"/>
        <v/>
      </c>
      <c r="L32" s="55">
        <f t="shared" ca="1" si="3"/>
        <v>199</v>
      </c>
      <c r="M32" s="55">
        <f t="shared" ca="1" si="10"/>
        <v>199</v>
      </c>
      <c r="N32" s="55">
        <f t="shared" ca="1" si="4"/>
        <v>0</v>
      </c>
      <c r="O32" s="66">
        <f t="shared" ca="1" si="5"/>
        <v>66.333333333333329</v>
      </c>
      <c r="P32" s="66">
        <f t="shared" ca="1" si="6"/>
        <v>66.333333333333329</v>
      </c>
      <c r="Q32" s="66">
        <f t="shared" ca="1" si="7"/>
        <v>66.333333333333329</v>
      </c>
    </row>
    <row r="33" spans="1:17" x14ac:dyDescent="0.25">
      <c r="A33" s="57">
        <v>6</v>
      </c>
      <c r="B33" s="2" t="str">
        <f>IF(OR(B32="",C32=""),"",IF(D32="",IF(B32-C32&lt;=0,"",B32-C32),IF(B32-D32&lt;=0,"",B32-D32)))</f>
        <v/>
      </c>
      <c r="C33" s="2"/>
      <c r="D33" s="2"/>
      <c r="E33" s="57" t="str">
        <f>IF(B33="","",IF(D32="",E32,B33+SUM(D$28:D32)))</f>
        <v/>
      </c>
      <c r="F33" s="55" t="str">
        <f t="shared" si="9"/>
        <v/>
      </c>
      <c r="G33" s="55" t="str">
        <f t="shared" si="0"/>
        <v/>
      </c>
      <c r="H33" s="55" t="str">
        <f t="shared" si="1"/>
        <v/>
      </c>
      <c r="I33" s="55" t="str">
        <f>IF(B33="",IF(B32="","",IF(D32="","",F32-D32)),IF(AND(C32="",D32=""),"",IF(AND(D32="",C32&lt;&gt;""),IF(I32&gt;F32,I32-C32,F32-C32),B$28-B33-SUM(D$28:D32))))</f>
        <v/>
      </c>
      <c r="K33" t="str">
        <f t="shared" si="2"/>
        <v/>
      </c>
      <c r="L33" s="55">
        <f t="shared" ca="1" si="3"/>
        <v>110</v>
      </c>
      <c r="M33" s="55">
        <f t="shared" ca="1" si="10"/>
        <v>110</v>
      </c>
      <c r="N33" s="55">
        <f t="shared" ca="1" si="4"/>
        <v>0</v>
      </c>
      <c r="O33" s="66">
        <f t="shared" ca="1" si="5"/>
        <v>66.333333333333329</v>
      </c>
      <c r="P33" s="66">
        <f t="shared" ca="1" si="6"/>
        <v>66.333333333333329</v>
      </c>
      <c r="Q33" s="66">
        <f t="shared" ca="1" si="7"/>
        <v>66.333333333333329</v>
      </c>
    </row>
  </sheetData>
  <mergeCells count="5">
    <mergeCell ref="A8:B8"/>
    <mergeCell ref="A18:B18"/>
    <mergeCell ref="G27:H27"/>
    <mergeCell ref="O26:Q26"/>
    <mergeCell ref="F26:N26"/>
  </mergeCells>
  <phoneticPr fontId="2" type="noConversion"/>
  <conditionalFormatting sqref="K27:N27 A27:G27 F26 I27 O26:O27 P27:Q27">
    <cfRule type="expression" dxfId="10" priority="1" stopIfTrue="1">
      <formula>$D26="Done"</formula>
    </cfRule>
    <cfRule type="expression" dxfId="9" priority="2" stopIfTrue="1">
      <formula>$D26="Ongoing"</formula>
    </cfRule>
    <cfRule type="expression" dxfId="8" priority="3" stopIfTrue="1">
      <formula>$D26="Removed"</formula>
    </cfRule>
  </conditionalFormatting>
  <pageMargins left="0.75" right="0.75" top="1" bottom="1" header="0.5" footer="0.5"/>
  <pageSetup paperSize="9" orientation="portrait"/>
  <headerFooter alignWithMargins="0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D86"/>
  <sheetViews>
    <sheetView workbookViewId="0">
      <pane ySplit="14" topLeftCell="A15" activePane="bottomLeft" state="frozen"/>
      <selection pane="bottomLeft" activeCell="S15" sqref="S15"/>
    </sheetView>
  </sheetViews>
  <sheetFormatPr baseColWidth="10" defaultColWidth="9.1796875" defaultRowHeight="12.5" x14ac:dyDescent="0.25"/>
  <cols>
    <col min="1" max="1" width="47" style="35" customWidth="1"/>
    <col min="2" max="2" width="13.7265625" style="34" customWidth="1"/>
    <col min="3" max="3" width="13.6328125" style="35" customWidth="1"/>
    <col min="4" max="4" width="10.81640625" style="35" customWidth="1"/>
    <col min="5" max="5" width="6.453125" style="34" customWidth="1"/>
    <col min="6" max="30" width="4.453125" style="34" customWidth="1"/>
    <col min="31" max="16384" width="9.1796875" style="35"/>
  </cols>
  <sheetData>
    <row r="1" spans="1:30" ht="17.5" x14ac:dyDescent="0.25">
      <c r="A1" s="67">
        <v>1</v>
      </c>
      <c r="B1" s="68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</row>
    <row r="2" spans="1:30" x14ac:dyDescent="0.25"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</row>
    <row r="9" spans="1:30" ht="13" x14ac:dyDescent="0.25">
      <c r="A9" s="69" t="s">
        <v>12</v>
      </c>
      <c r="B9" s="70">
        <v>14</v>
      </c>
      <c r="C9" s="69"/>
      <c r="D9" s="71"/>
      <c r="E9" s="69" t="s">
        <v>9</v>
      </c>
      <c r="F9" s="69" t="s">
        <v>11</v>
      </c>
      <c r="G9" s="69"/>
      <c r="H9" s="69"/>
      <c r="I9" s="69"/>
      <c r="J9" s="69"/>
      <c r="K9" s="69"/>
      <c r="L9" s="69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</row>
    <row r="10" spans="1:30" ht="13" x14ac:dyDescent="0.25">
      <c r="A10" s="69" t="s">
        <v>29</v>
      </c>
      <c r="B10" s="70">
        <v>14</v>
      </c>
      <c r="C10" s="69" t="s">
        <v>30</v>
      </c>
      <c r="D10" s="69" t="s">
        <v>17</v>
      </c>
      <c r="E10" s="72">
        <f ca="1">SUM(OFFSET(E14,1,0,TaskRows,1))</f>
        <v>61</v>
      </c>
      <c r="F10" s="72">
        <f ca="1">IF(AND(SUM(OFFSET(F14,1,0,TaskRows,1))=0),0,SUM(OFFSET(F14,1,0,TaskRows,1)))</f>
        <v>57</v>
      </c>
      <c r="G10" s="72">
        <f t="shared" ref="G10:AD10" ca="1" si="0">IF(AND(SUM(OFFSET(G14,1,0,TaskRows,1))=0),"",SUM(OFFSET(G14,1,0,TaskRows,1)))</f>
        <v>54</v>
      </c>
      <c r="H10" s="72">
        <f t="shared" ca="1" si="0"/>
        <v>48</v>
      </c>
      <c r="I10" s="72">
        <f t="shared" ca="1" si="0"/>
        <v>45</v>
      </c>
      <c r="J10" s="72">
        <f t="shared" ca="1" si="0"/>
        <v>39</v>
      </c>
      <c r="K10" s="72" t="str">
        <f t="shared" ca="1" si="0"/>
        <v/>
      </c>
      <c r="L10" s="72" t="str">
        <f t="shared" ca="1" si="0"/>
        <v/>
      </c>
      <c r="M10" s="72">
        <f t="shared" ca="1" si="0"/>
        <v>34</v>
      </c>
      <c r="N10" s="72">
        <f t="shared" ca="1" si="0"/>
        <v>28</v>
      </c>
      <c r="O10" s="72">
        <f t="shared" ca="1" si="0"/>
        <v>22</v>
      </c>
      <c r="P10" s="72">
        <f t="shared" ca="1" si="0"/>
        <v>18</v>
      </c>
      <c r="Q10" s="72">
        <f t="shared" ca="1" si="0"/>
        <v>13</v>
      </c>
      <c r="R10" s="72">
        <f t="shared" ca="1" si="0"/>
        <v>7</v>
      </c>
      <c r="S10" s="72">
        <f t="shared" ca="1" si="0"/>
        <v>2</v>
      </c>
      <c r="T10" s="72" t="str">
        <f t="shared" ca="1" si="0"/>
        <v/>
      </c>
      <c r="U10" s="72" t="str">
        <f t="shared" ca="1" si="0"/>
        <v/>
      </c>
      <c r="V10" s="72" t="str">
        <f t="shared" ca="1" si="0"/>
        <v/>
      </c>
      <c r="W10" s="72" t="str">
        <f t="shared" ca="1" si="0"/>
        <v/>
      </c>
      <c r="X10" s="72" t="str">
        <f t="shared" ca="1" si="0"/>
        <v/>
      </c>
      <c r="Y10" s="72" t="str">
        <f t="shared" ca="1" si="0"/>
        <v/>
      </c>
      <c r="Z10" s="72" t="str">
        <f t="shared" ca="1" si="0"/>
        <v/>
      </c>
      <c r="AA10" s="72" t="str">
        <f t="shared" ca="1" si="0"/>
        <v/>
      </c>
      <c r="AB10" s="72" t="str">
        <f t="shared" ca="1" si="0"/>
        <v/>
      </c>
      <c r="AC10" s="72" t="str">
        <f t="shared" ca="1" si="0"/>
        <v/>
      </c>
      <c r="AD10" s="72" t="str">
        <f t="shared" ca="1" si="0"/>
        <v/>
      </c>
    </row>
    <row r="11" spans="1:30" customFormat="1" hidden="1" x14ac:dyDescent="0.25">
      <c r="A11" t="s">
        <v>22</v>
      </c>
      <c r="B11" s="2">
        <f>IF(COUNTA(A15:A241)=0,1,COUNTA(A15:A241))</f>
        <v>8</v>
      </c>
      <c r="C11" t="s">
        <v>23</v>
      </c>
      <c r="D11" s="2">
        <f ca="1">IF(COUNTIF(F10:AD10,"&gt;0")=0,1,COUNTIF(F10:AD10,"&gt;0"))</f>
        <v>12</v>
      </c>
      <c r="E11" s="2"/>
      <c r="F11" s="2">
        <f ca="1">IF(F14="","",$E10-$E10/($B9-1)*(F14-1))</f>
        <v>61</v>
      </c>
      <c r="G11" s="2">
        <f t="shared" ref="G11:AD11" ca="1" si="1">IF(G14="","",TotalEffort-TotalEffort/(ImplementationDays)*(G14-1))</f>
        <v>56.642857142857146</v>
      </c>
      <c r="H11" s="2">
        <f t="shared" ca="1" si="1"/>
        <v>52.285714285714285</v>
      </c>
      <c r="I11" s="2">
        <f t="shared" ca="1" si="1"/>
        <v>47.928571428571431</v>
      </c>
      <c r="J11" s="2">
        <f t="shared" ca="1" si="1"/>
        <v>43.571428571428569</v>
      </c>
      <c r="K11" s="2">
        <f t="shared" ca="1" si="1"/>
        <v>39.214285714285715</v>
      </c>
      <c r="L11" s="2">
        <f t="shared" ca="1" si="1"/>
        <v>34.857142857142861</v>
      </c>
      <c r="M11" s="2">
        <f t="shared" ca="1" si="1"/>
        <v>30.500000000000004</v>
      </c>
      <c r="N11" s="2">
        <f t="shared" ca="1" si="1"/>
        <v>26.142857142857146</v>
      </c>
      <c r="O11" s="2">
        <f t="shared" ca="1" si="1"/>
        <v>21.785714285714292</v>
      </c>
      <c r="P11" s="2">
        <f t="shared" ca="1" si="1"/>
        <v>17.428571428571431</v>
      </c>
      <c r="Q11" s="2">
        <f t="shared" ca="1" si="1"/>
        <v>13.071428571428577</v>
      </c>
      <c r="R11" s="2">
        <f t="shared" ca="1" si="1"/>
        <v>8.7142857142857224</v>
      </c>
      <c r="S11" s="2">
        <f t="shared" ca="1" si="1"/>
        <v>4.3571428571428612</v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customFormat="1" ht="13" hidden="1" x14ac:dyDescent="0.3">
      <c r="A12" s="56" t="s">
        <v>26</v>
      </c>
      <c r="C12" t="s">
        <v>24</v>
      </c>
      <c r="D12" s="2"/>
      <c r="E12" s="2"/>
      <c r="F12" s="2" t="e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#VALUE!</v>
      </c>
      <c r="G12" s="2" t="e">
        <f t="shared" ca="1" si="2"/>
        <v>#VALUE!</v>
      </c>
      <c r="H12" s="2" t="e">
        <f t="shared" ca="1" si="2"/>
        <v>#VALUE!</v>
      </c>
      <c r="I12" s="2" t="e">
        <f t="shared" ca="1" si="2"/>
        <v>#VALUE!</v>
      </c>
      <c r="J12" s="2" t="e">
        <f t="shared" ca="1" si="2"/>
        <v>#VALUE!</v>
      </c>
      <c r="K12" s="2" t="e">
        <f t="shared" ca="1" si="2"/>
        <v>#VALUE!</v>
      </c>
      <c r="L12" s="2" t="e">
        <f t="shared" ca="1" si="2"/>
        <v>#VALUE!</v>
      </c>
      <c r="M12" s="2" t="e">
        <f t="shared" ca="1" si="2"/>
        <v>#VALUE!</v>
      </c>
      <c r="N12" s="2" t="e">
        <f t="shared" ca="1" si="2"/>
        <v>#VALUE!</v>
      </c>
      <c r="O12" s="2" t="e">
        <f t="shared" ca="1" si="2"/>
        <v>#VALUE!</v>
      </c>
      <c r="P12" s="2" t="e">
        <f t="shared" ca="1" si="2"/>
        <v>#VALUE!</v>
      </c>
      <c r="Q12" s="2" t="e">
        <f t="shared" ca="1" si="2"/>
        <v>#VALUE!</v>
      </c>
      <c r="R12" s="2" t="e">
        <f t="shared" ca="1" si="2"/>
        <v>#VALUE!</v>
      </c>
      <c r="S12" s="2" t="e">
        <f t="shared" ca="1" si="2"/>
        <v>#VALUE!</v>
      </c>
      <c r="T12" s="2" t="e">
        <f t="shared" ca="1" si="2"/>
        <v>#VALUE!</v>
      </c>
      <c r="U12" s="2" t="e">
        <f t="shared" ca="1" si="2"/>
        <v>#VALUE!</v>
      </c>
      <c r="V12" s="2" t="e">
        <f t="shared" ca="1" si="2"/>
        <v>#VALUE!</v>
      </c>
      <c r="W12" s="2" t="e">
        <f t="shared" ca="1" si="2"/>
        <v>#VALUE!</v>
      </c>
      <c r="X12" s="2" t="e">
        <f t="shared" ca="1" si="2"/>
        <v>#VALUE!</v>
      </c>
      <c r="Y12" s="2" t="e">
        <f t="shared" ca="1" si="2"/>
        <v>#VALUE!</v>
      </c>
      <c r="Z12" s="2" t="e">
        <f t="shared" ca="1" si="2"/>
        <v>#VALUE!</v>
      </c>
      <c r="AA12" s="2" t="e">
        <f t="shared" ca="1" si="2"/>
        <v>#VALUE!</v>
      </c>
      <c r="AB12" s="2" t="e">
        <f t="shared" ca="1" si="2"/>
        <v>#VALUE!</v>
      </c>
      <c r="AC12" s="2" t="e">
        <f t="shared" ca="1" si="2"/>
        <v>#VALUE!</v>
      </c>
      <c r="AD12" s="2" t="e">
        <f t="shared" ca="1" si="2"/>
        <v>#VALUE!</v>
      </c>
    </row>
    <row r="13" spans="1:30" customFormat="1" ht="13" hidden="1" x14ac:dyDescent="0.3">
      <c r="A13" s="56" t="s">
        <v>27</v>
      </c>
      <c r="C13" t="s">
        <v>25</v>
      </c>
      <c r="D13" s="2">
        <f ca="1">IF(DoneDays&gt;B10,B10,DoneDays)</f>
        <v>12</v>
      </c>
      <c r="E13" s="2"/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ht="13" x14ac:dyDescent="0.25">
      <c r="A14" s="69" t="s">
        <v>7</v>
      </c>
      <c r="B14" s="73" t="s">
        <v>21</v>
      </c>
      <c r="C14" s="69" t="s">
        <v>8</v>
      </c>
      <c r="D14" s="69" t="s">
        <v>3</v>
      </c>
      <c r="E14" s="73" t="s">
        <v>10</v>
      </c>
      <c r="F14" s="73">
        <v>1</v>
      </c>
      <c r="G14" s="73">
        <f t="shared" ref="G14:AD14" si="3">IF($B$9&gt;F14,F14+1,"")</f>
        <v>2</v>
      </c>
      <c r="H14" s="73">
        <f t="shared" si="3"/>
        <v>3</v>
      </c>
      <c r="I14" s="73">
        <f t="shared" si="3"/>
        <v>4</v>
      </c>
      <c r="J14" s="73">
        <f t="shared" si="3"/>
        <v>5</v>
      </c>
      <c r="K14" s="73">
        <f t="shared" si="3"/>
        <v>6</v>
      </c>
      <c r="L14" s="73">
        <f t="shared" si="3"/>
        <v>7</v>
      </c>
      <c r="M14" s="73">
        <f t="shared" si="3"/>
        <v>8</v>
      </c>
      <c r="N14" s="73">
        <f t="shared" si="3"/>
        <v>9</v>
      </c>
      <c r="O14" s="73">
        <f t="shared" si="3"/>
        <v>10</v>
      </c>
      <c r="P14" s="73">
        <f t="shared" si="3"/>
        <v>11</v>
      </c>
      <c r="Q14" s="73">
        <f t="shared" si="3"/>
        <v>12</v>
      </c>
      <c r="R14" s="73">
        <f t="shared" si="3"/>
        <v>13</v>
      </c>
      <c r="S14" s="73">
        <f t="shared" si="3"/>
        <v>14</v>
      </c>
      <c r="T14" s="73" t="str">
        <f t="shared" si="3"/>
        <v/>
      </c>
      <c r="U14" s="73" t="str">
        <f t="shared" si="3"/>
        <v/>
      </c>
      <c r="V14" s="73" t="str">
        <f t="shared" si="3"/>
        <v/>
      </c>
      <c r="W14" s="73" t="str">
        <f t="shared" si="3"/>
        <v/>
      </c>
      <c r="X14" s="73" t="str">
        <f t="shared" si="3"/>
        <v/>
      </c>
      <c r="Y14" s="73" t="str">
        <f t="shared" si="3"/>
        <v/>
      </c>
      <c r="Z14" s="73" t="str">
        <f t="shared" si="3"/>
        <v/>
      </c>
      <c r="AA14" s="73" t="str">
        <f t="shared" si="3"/>
        <v/>
      </c>
      <c r="AB14" s="73" t="str">
        <f t="shared" si="3"/>
        <v/>
      </c>
      <c r="AC14" s="73" t="str">
        <f t="shared" si="3"/>
        <v/>
      </c>
      <c r="AD14" s="73" t="str">
        <f t="shared" si="3"/>
        <v/>
      </c>
    </row>
    <row r="15" spans="1:30" x14ac:dyDescent="0.25">
      <c r="A15" s="104" t="s">
        <v>126</v>
      </c>
      <c r="B15" s="105" t="s">
        <v>100</v>
      </c>
      <c r="C15" s="104" t="s">
        <v>125</v>
      </c>
      <c r="D15" t="s">
        <v>79</v>
      </c>
      <c r="E15" s="2">
        <v>8</v>
      </c>
      <c r="F15" s="2">
        <v>7</v>
      </c>
      <c r="G15" s="2">
        <v>6</v>
      </c>
      <c r="H15" s="2">
        <v>2</v>
      </c>
      <c r="I15" s="2">
        <v>0</v>
      </c>
      <c r="K15" s="106"/>
      <c r="L15" s="106"/>
    </row>
    <row r="16" spans="1:30" x14ac:dyDescent="0.25">
      <c r="A16" s="104" t="s">
        <v>127</v>
      </c>
      <c r="B16" s="2" t="s">
        <v>100</v>
      </c>
      <c r="C16" s="104" t="s">
        <v>125</v>
      </c>
      <c r="D16" t="s">
        <v>79</v>
      </c>
      <c r="E16" s="2">
        <v>10</v>
      </c>
      <c r="F16" s="2">
        <v>9</v>
      </c>
      <c r="G16" s="2">
        <v>8</v>
      </c>
      <c r="H16" s="2">
        <v>6</v>
      </c>
      <c r="I16" s="2">
        <v>5</v>
      </c>
      <c r="J16" s="34">
        <v>0</v>
      </c>
      <c r="K16" s="106"/>
      <c r="L16" s="106"/>
    </row>
    <row r="17" spans="1:30" x14ac:dyDescent="0.25">
      <c r="A17" s="104" t="s">
        <v>136</v>
      </c>
      <c r="B17" s="2" t="s">
        <v>100</v>
      </c>
      <c r="C17" s="104" t="s">
        <v>125</v>
      </c>
      <c r="D17" t="s">
        <v>79</v>
      </c>
      <c r="E17" s="2">
        <v>10</v>
      </c>
      <c r="F17" s="2">
        <v>8</v>
      </c>
      <c r="G17" s="2">
        <v>7</v>
      </c>
      <c r="H17" s="2">
        <v>7</v>
      </c>
      <c r="I17" s="2">
        <v>7</v>
      </c>
      <c r="J17" s="34">
        <v>7</v>
      </c>
      <c r="K17" s="106"/>
      <c r="L17" s="106"/>
      <c r="M17" s="34">
        <v>2</v>
      </c>
      <c r="N17" s="34">
        <v>0</v>
      </c>
    </row>
    <row r="18" spans="1:30" x14ac:dyDescent="0.25">
      <c r="A18" s="102" t="s">
        <v>128</v>
      </c>
      <c r="B18" s="105" t="s">
        <v>100</v>
      </c>
      <c r="C18" s="104" t="s">
        <v>125</v>
      </c>
      <c r="D18" t="s">
        <v>79</v>
      </c>
      <c r="E18" s="34">
        <v>8</v>
      </c>
      <c r="F18" s="34">
        <v>8</v>
      </c>
      <c r="G18" s="34">
        <v>8</v>
      </c>
      <c r="H18" s="34">
        <v>8</v>
      </c>
      <c r="I18" s="34">
        <v>8</v>
      </c>
      <c r="J18" s="34">
        <v>8</v>
      </c>
      <c r="K18" s="106"/>
      <c r="L18" s="106"/>
      <c r="M18" s="34">
        <v>8</v>
      </c>
      <c r="N18" s="34">
        <v>4</v>
      </c>
      <c r="O18" s="34">
        <v>0</v>
      </c>
      <c r="AC18" s="34" t="str">
        <f t="shared" ref="AC18:AD33" si="4">IF(OR(AC$14="",$E18=""),"",AB18)</f>
        <v/>
      </c>
      <c r="AD18" s="34" t="str">
        <f t="shared" si="4"/>
        <v/>
      </c>
    </row>
    <row r="19" spans="1:30" x14ac:dyDescent="0.25">
      <c r="A19" s="102" t="s">
        <v>129</v>
      </c>
      <c r="B19" s="105" t="s">
        <v>100</v>
      </c>
      <c r="C19" s="104" t="s">
        <v>125</v>
      </c>
      <c r="D19" t="s">
        <v>79</v>
      </c>
      <c r="E19" s="34">
        <v>8</v>
      </c>
      <c r="F19" s="34">
        <v>8</v>
      </c>
      <c r="G19" s="34">
        <v>8</v>
      </c>
      <c r="H19" s="34">
        <v>8</v>
      </c>
      <c r="I19" s="34">
        <v>8</v>
      </c>
      <c r="J19" s="34">
        <v>7</v>
      </c>
      <c r="K19" s="106"/>
      <c r="L19" s="106"/>
      <c r="M19" s="34">
        <v>7</v>
      </c>
      <c r="N19" s="34">
        <v>7</v>
      </c>
      <c r="O19" s="34">
        <v>5</v>
      </c>
      <c r="P19" s="34">
        <v>1</v>
      </c>
      <c r="Q19" s="34">
        <v>0</v>
      </c>
      <c r="AC19" s="34" t="str">
        <f t="shared" si="4"/>
        <v/>
      </c>
      <c r="AD19" s="34" t="str">
        <f t="shared" si="4"/>
        <v/>
      </c>
    </row>
    <row r="20" spans="1:30" x14ac:dyDescent="0.25">
      <c r="A20" s="102" t="s">
        <v>130</v>
      </c>
      <c r="B20" s="105" t="s">
        <v>100</v>
      </c>
      <c r="C20" s="104" t="s">
        <v>125</v>
      </c>
      <c r="D20" t="s">
        <v>79</v>
      </c>
      <c r="E20" s="34">
        <v>2</v>
      </c>
      <c r="F20" s="34">
        <v>2</v>
      </c>
      <c r="G20" s="34">
        <v>2</v>
      </c>
      <c r="H20" s="34">
        <v>2</v>
      </c>
      <c r="I20" s="34">
        <v>2</v>
      </c>
      <c r="J20" s="34">
        <v>2</v>
      </c>
      <c r="K20" s="106"/>
      <c r="L20" s="106"/>
      <c r="M20" s="34">
        <v>2</v>
      </c>
      <c r="N20" s="34">
        <v>2</v>
      </c>
      <c r="O20" s="34">
        <v>2</v>
      </c>
      <c r="P20" s="34">
        <v>2</v>
      </c>
      <c r="Q20" s="34">
        <v>0</v>
      </c>
      <c r="AC20" s="34" t="str">
        <f t="shared" si="4"/>
        <v/>
      </c>
      <c r="AD20" s="34" t="str">
        <f t="shared" si="4"/>
        <v/>
      </c>
    </row>
    <row r="21" spans="1:30" x14ac:dyDescent="0.25">
      <c r="A21" s="102" t="s">
        <v>132</v>
      </c>
      <c r="B21" s="105" t="s">
        <v>100</v>
      </c>
      <c r="C21" s="104" t="s">
        <v>125</v>
      </c>
      <c r="D21" t="s">
        <v>79</v>
      </c>
      <c r="E21" s="34">
        <v>5</v>
      </c>
      <c r="F21" s="34">
        <v>5</v>
      </c>
      <c r="G21" s="34">
        <v>5</v>
      </c>
      <c r="H21" s="34">
        <v>5</v>
      </c>
      <c r="I21" s="34">
        <v>5</v>
      </c>
      <c r="J21" s="34">
        <v>5</v>
      </c>
      <c r="K21" s="106"/>
      <c r="L21" s="106"/>
      <c r="M21" s="34">
        <v>5</v>
      </c>
      <c r="N21" s="34">
        <v>5</v>
      </c>
      <c r="O21" s="34">
        <v>5</v>
      </c>
      <c r="P21" s="34">
        <v>5</v>
      </c>
      <c r="Q21" s="34">
        <v>3</v>
      </c>
      <c r="R21" s="34">
        <v>0</v>
      </c>
      <c r="AC21" s="34" t="str">
        <f t="shared" si="4"/>
        <v/>
      </c>
      <c r="AD21" s="34" t="str">
        <f t="shared" si="4"/>
        <v/>
      </c>
    </row>
    <row r="22" spans="1:30" ht="15" customHeight="1" x14ac:dyDescent="0.25">
      <c r="A22" s="102" t="s">
        <v>131</v>
      </c>
      <c r="B22" s="105" t="s">
        <v>100</v>
      </c>
      <c r="C22" s="104" t="s">
        <v>125</v>
      </c>
      <c r="D22" t="s">
        <v>79</v>
      </c>
      <c r="E22" s="34">
        <v>10</v>
      </c>
      <c r="F22" s="34">
        <v>10</v>
      </c>
      <c r="G22" s="34">
        <v>10</v>
      </c>
      <c r="H22" s="34">
        <v>10</v>
      </c>
      <c r="I22" s="34">
        <v>10</v>
      </c>
      <c r="J22" s="34">
        <v>10</v>
      </c>
      <c r="K22" s="106"/>
      <c r="L22" s="106"/>
      <c r="M22" s="34">
        <v>10</v>
      </c>
      <c r="N22" s="34">
        <v>10</v>
      </c>
      <c r="O22" s="34">
        <v>10</v>
      </c>
      <c r="P22" s="34">
        <v>10</v>
      </c>
      <c r="Q22" s="34">
        <v>10</v>
      </c>
      <c r="R22" s="34">
        <v>7</v>
      </c>
      <c r="S22" s="34">
        <v>2</v>
      </c>
      <c r="T22" s="34">
        <v>0</v>
      </c>
      <c r="AC22" s="34" t="str">
        <f t="shared" si="4"/>
        <v/>
      </c>
      <c r="AD22" s="34" t="str">
        <f t="shared" si="4"/>
        <v/>
      </c>
    </row>
    <row r="23" spans="1:30" x14ac:dyDescent="0.25">
      <c r="A23" s="32"/>
      <c r="C23"/>
      <c r="AC23" s="34" t="str">
        <f t="shared" si="4"/>
        <v/>
      </c>
      <c r="AD23" s="34" t="str">
        <f t="shared" si="4"/>
        <v/>
      </c>
    </row>
    <row r="24" spans="1:30" x14ac:dyDescent="0.25">
      <c r="A24" s="32"/>
      <c r="C24"/>
    </row>
    <row r="25" spans="1:30" x14ac:dyDescent="0.25">
      <c r="A25" s="32"/>
      <c r="C25"/>
      <c r="AC25" s="34" t="str">
        <f t="shared" si="4"/>
        <v/>
      </c>
      <c r="AD25" s="34" t="str">
        <f t="shared" si="4"/>
        <v/>
      </c>
    </row>
    <row r="26" spans="1:30" x14ac:dyDescent="0.25">
      <c r="A26" s="32"/>
      <c r="C26"/>
      <c r="AC26" s="34" t="str">
        <f t="shared" si="4"/>
        <v/>
      </c>
      <c r="AD26" s="34" t="str">
        <f t="shared" si="4"/>
        <v/>
      </c>
    </row>
    <row r="27" spans="1:30" x14ac:dyDescent="0.25">
      <c r="A27" s="32"/>
      <c r="C27"/>
      <c r="AC27" s="34" t="str">
        <f t="shared" si="4"/>
        <v/>
      </c>
      <c r="AD27" s="34" t="str">
        <f t="shared" si="4"/>
        <v/>
      </c>
    </row>
    <row r="28" spans="1:30" x14ac:dyDescent="0.25">
      <c r="A28" s="32"/>
      <c r="C28"/>
      <c r="AC28" s="34" t="str">
        <f t="shared" si="4"/>
        <v/>
      </c>
      <c r="AD28" s="34" t="str">
        <f t="shared" si="4"/>
        <v/>
      </c>
    </row>
    <row r="29" spans="1:30" x14ac:dyDescent="0.25">
      <c r="A29" s="32"/>
      <c r="C29"/>
      <c r="AC29" s="34" t="str">
        <f t="shared" si="4"/>
        <v/>
      </c>
      <c r="AD29" s="34" t="str">
        <f t="shared" si="4"/>
        <v/>
      </c>
    </row>
    <row r="30" spans="1:30" x14ac:dyDescent="0.25">
      <c r="A30" s="32"/>
      <c r="C30"/>
      <c r="AC30" s="34" t="str">
        <f t="shared" si="4"/>
        <v/>
      </c>
      <c r="AD30" s="34" t="str">
        <f t="shared" si="4"/>
        <v/>
      </c>
    </row>
    <row r="31" spans="1:30" x14ac:dyDescent="0.25">
      <c r="A31" s="32"/>
      <c r="C31"/>
      <c r="AC31" s="34" t="str">
        <f t="shared" si="4"/>
        <v/>
      </c>
      <c r="AD31" s="34" t="str">
        <f t="shared" si="4"/>
        <v/>
      </c>
    </row>
    <row r="32" spans="1:30" x14ac:dyDescent="0.25">
      <c r="A32" s="32"/>
      <c r="C32"/>
      <c r="AC32" s="34" t="str">
        <f t="shared" si="4"/>
        <v/>
      </c>
      <c r="AD32" s="34" t="str">
        <f t="shared" si="4"/>
        <v/>
      </c>
    </row>
    <row r="33" spans="1:30" x14ac:dyDescent="0.25">
      <c r="A33" s="32"/>
      <c r="C33"/>
      <c r="AC33" s="34" t="str">
        <f t="shared" si="4"/>
        <v/>
      </c>
      <c r="AD33" s="34" t="str">
        <f t="shared" si="4"/>
        <v/>
      </c>
    </row>
    <row r="34" spans="1:30" x14ac:dyDescent="0.25">
      <c r="A34" s="32"/>
      <c r="C34"/>
    </row>
    <row r="35" spans="1:30" x14ac:dyDescent="0.25">
      <c r="A35" s="32"/>
      <c r="C35"/>
      <c r="AC35" s="34" t="str">
        <f t="shared" ref="AC35:AD39" si="5">IF(OR(AC$14="",$E35=""),"",AB35)</f>
        <v/>
      </c>
      <c r="AD35" s="34" t="str">
        <f t="shared" si="5"/>
        <v/>
      </c>
    </row>
    <row r="36" spans="1:30" x14ac:dyDescent="0.25">
      <c r="A36" s="32"/>
      <c r="C36"/>
      <c r="AC36" s="34" t="str">
        <f t="shared" si="5"/>
        <v/>
      </c>
      <c r="AD36" s="34" t="str">
        <f t="shared" si="5"/>
        <v/>
      </c>
    </row>
    <row r="37" spans="1:30" x14ac:dyDescent="0.25">
      <c r="A37" s="32"/>
      <c r="C37"/>
      <c r="AC37" s="34" t="str">
        <f t="shared" si="5"/>
        <v/>
      </c>
      <c r="AD37" s="34" t="str">
        <f t="shared" si="5"/>
        <v/>
      </c>
    </row>
    <row r="38" spans="1:30" x14ac:dyDescent="0.25">
      <c r="A38" s="32"/>
      <c r="C38"/>
      <c r="AC38" s="34" t="str">
        <f t="shared" si="5"/>
        <v/>
      </c>
      <c r="AD38" s="34" t="str">
        <f t="shared" si="5"/>
        <v/>
      </c>
    </row>
    <row r="39" spans="1:30" x14ac:dyDescent="0.25">
      <c r="A39" s="32"/>
      <c r="C39"/>
      <c r="AC39" s="34" t="str">
        <f t="shared" si="5"/>
        <v/>
      </c>
      <c r="AD39" s="34" t="str">
        <f t="shared" si="5"/>
        <v/>
      </c>
    </row>
    <row r="40" spans="1:30" x14ac:dyDescent="0.25">
      <c r="A40" s="32"/>
      <c r="C40"/>
      <c r="D40" s="35" t="str">
        <f t="shared" ref="D40:D63" si="6">IF(A40&lt;&gt;"","Planned","")</f>
        <v/>
      </c>
      <c r="F40" s="34" t="str">
        <f t="shared" ref="F40:F62" si="7">IF(OR(F$14="",$E40=""),"",E40)</f>
        <v/>
      </c>
      <c r="AC40" s="34" t="str">
        <f t="shared" ref="AC40:AD58" si="8">IF(OR(AC$14="",$E40=""),"",AB40)</f>
        <v/>
      </c>
      <c r="AD40" s="34" t="str">
        <f t="shared" si="8"/>
        <v/>
      </c>
    </row>
    <row r="41" spans="1:30" x14ac:dyDescent="0.25">
      <c r="C41"/>
      <c r="D41" s="35" t="str">
        <f t="shared" si="6"/>
        <v/>
      </c>
      <c r="F41" s="34" t="str">
        <f t="shared" si="7"/>
        <v/>
      </c>
      <c r="AC41" s="34" t="str">
        <f t="shared" si="8"/>
        <v/>
      </c>
      <c r="AD41" s="34" t="str">
        <f t="shared" si="8"/>
        <v/>
      </c>
    </row>
    <row r="42" spans="1:30" x14ac:dyDescent="0.25">
      <c r="C42"/>
      <c r="D42" s="35" t="str">
        <f t="shared" si="6"/>
        <v/>
      </c>
      <c r="F42" s="34" t="str">
        <f t="shared" si="7"/>
        <v/>
      </c>
      <c r="AC42" s="34" t="str">
        <f t="shared" si="8"/>
        <v/>
      </c>
      <c r="AD42" s="34" t="str">
        <f t="shared" si="8"/>
        <v/>
      </c>
    </row>
    <row r="43" spans="1:30" x14ac:dyDescent="0.25">
      <c r="C43"/>
      <c r="D43" s="35" t="str">
        <f t="shared" si="6"/>
        <v/>
      </c>
      <c r="F43" s="34" t="str">
        <f t="shared" si="7"/>
        <v/>
      </c>
      <c r="AC43" s="34" t="str">
        <f t="shared" si="8"/>
        <v/>
      </c>
      <c r="AD43" s="34" t="str">
        <f t="shared" si="8"/>
        <v/>
      </c>
    </row>
    <row r="44" spans="1:30" x14ac:dyDescent="0.25">
      <c r="C44"/>
      <c r="D44" s="35" t="str">
        <f t="shared" si="6"/>
        <v/>
      </c>
      <c r="F44" s="34" t="str">
        <f t="shared" si="7"/>
        <v/>
      </c>
      <c r="AC44" s="34" t="str">
        <f t="shared" si="8"/>
        <v/>
      </c>
      <c r="AD44" s="34" t="str">
        <f t="shared" si="8"/>
        <v/>
      </c>
    </row>
    <row r="45" spans="1:30" x14ac:dyDescent="0.25">
      <c r="C45"/>
      <c r="D45" s="35" t="str">
        <f t="shared" si="6"/>
        <v/>
      </c>
      <c r="F45" s="34" t="str">
        <f t="shared" si="7"/>
        <v/>
      </c>
      <c r="AC45" s="34" t="str">
        <f t="shared" si="8"/>
        <v/>
      </c>
      <c r="AD45" s="34" t="str">
        <f t="shared" si="8"/>
        <v/>
      </c>
    </row>
    <row r="46" spans="1:30" x14ac:dyDescent="0.25">
      <c r="C46"/>
      <c r="D46" s="35" t="str">
        <f t="shared" si="6"/>
        <v/>
      </c>
      <c r="F46" s="34" t="str">
        <f t="shared" si="7"/>
        <v/>
      </c>
      <c r="AC46" s="34" t="str">
        <f t="shared" si="8"/>
        <v/>
      </c>
      <c r="AD46" s="34" t="str">
        <f t="shared" si="8"/>
        <v/>
      </c>
    </row>
    <row r="47" spans="1:30" x14ac:dyDescent="0.25">
      <c r="C47"/>
      <c r="D47" s="35" t="str">
        <f t="shared" si="6"/>
        <v/>
      </c>
      <c r="F47" s="34" t="str">
        <f t="shared" si="7"/>
        <v/>
      </c>
      <c r="AC47" s="34" t="str">
        <f t="shared" si="8"/>
        <v/>
      </c>
      <c r="AD47" s="34" t="str">
        <f t="shared" si="8"/>
        <v/>
      </c>
    </row>
    <row r="48" spans="1:30" x14ac:dyDescent="0.25">
      <c r="C48"/>
      <c r="D48" s="35" t="str">
        <f t="shared" si="6"/>
        <v/>
      </c>
      <c r="F48" s="34" t="str">
        <f t="shared" si="7"/>
        <v/>
      </c>
      <c r="AC48" s="34" t="str">
        <f t="shared" si="8"/>
        <v/>
      </c>
      <c r="AD48" s="34" t="str">
        <f t="shared" si="8"/>
        <v/>
      </c>
    </row>
    <row r="49" spans="3:30" x14ac:dyDescent="0.25">
      <c r="C49"/>
      <c r="D49" s="35" t="str">
        <f t="shared" si="6"/>
        <v/>
      </c>
      <c r="F49" s="34" t="str">
        <f t="shared" si="7"/>
        <v/>
      </c>
      <c r="AC49" s="34" t="str">
        <f t="shared" si="8"/>
        <v/>
      </c>
      <c r="AD49" s="34" t="str">
        <f t="shared" si="8"/>
        <v/>
      </c>
    </row>
    <row r="50" spans="3:30" x14ac:dyDescent="0.25">
      <c r="C50"/>
      <c r="D50" s="35" t="str">
        <f t="shared" si="6"/>
        <v/>
      </c>
      <c r="F50" s="34" t="str">
        <f t="shared" si="7"/>
        <v/>
      </c>
      <c r="AC50" s="34" t="str">
        <f t="shared" si="8"/>
        <v/>
      </c>
      <c r="AD50" s="34" t="str">
        <f t="shared" si="8"/>
        <v/>
      </c>
    </row>
    <row r="51" spans="3:30" x14ac:dyDescent="0.25">
      <c r="C51"/>
      <c r="D51" s="35" t="str">
        <f t="shared" si="6"/>
        <v/>
      </c>
      <c r="F51" s="34" t="str">
        <f t="shared" si="7"/>
        <v/>
      </c>
      <c r="AC51" s="34" t="str">
        <f t="shared" si="8"/>
        <v/>
      </c>
      <c r="AD51" s="34" t="str">
        <f t="shared" si="8"/>
        <v/>
      </c>
    </row>
    <row r="52" spans="3:30" x14ac:dyDescent="0.25">
      <c r="C52"/>
      <c r="D52" s="35" t="str">
        <f t="shared" si="6"/>
        <v/>
      </c>
      <c r="F52" s="34" t="str">
        <f t="shared" si="7"/>
        <v/>
      </c>
      <c r="AC52" s="34" t="str">
        <f t="shared" si="8"/>
        <v/>
      </c>
      <c r="AD52" s="34" t="str">
        <f t="shared" si="8"/>
        <v/>
      </c>
    </row>
    <row r="53" spans="3:30" x14ac:dyDescent="0.25">
      <c r="C53"/>
      <c r="D53" s="35" t="str">
        <f t="shared" si="6"/>
        <v/>
      </c>
      <c r="F53" s="34" t="str">
        <f t="shared" si="7"/>
        <v/>
      </c>
      <c r="AC53" s="34" t="str">
        <f t="shared" si="8"/>
        <v/>
      </c>
      <c r="AD53" s="34" t="str">
        <f t="shared" si="8"/>
        <v/>
      </c>
    </row>
    <row r="54" spans="3:30" x14ac:dyDescent="0.25">
      <c r="C54"/>
      <c r="D54" s="35" t="str">
        <f t="shared" si="6"/>
        <v/>
      </c>
      <c r="F54" s="34" t="str">
        <f t="shared" si="7"/>
        <v/>
      </c>
      <c r="AC54" s="34" t="str">
        <f t="shared" si="8"/>
        <v/>
      </c>
      <c r="AD54" s="34" t="str">
        <f t="shared" si="8"/>
        <v/>
      </c>
    </row>
    <row r="55" spans="3:30" x14ac:dyDescent="0.25">
      <c r="C55"/>
      <c r="D55" s="35" t="str">
        <f t="shared" si="6"/>
        <v/>
      </c>
      <c r="F55" s="34" t="str">
        <f t="shared" si="7"/>
        <v/>
      </c>
      <c r="AC55" s="34" t="str">
        <f t="shared" si="8"/>
        <v/>
      </c>
      <c r="AD55" s="34" t="str">
        <f t="shared" si="8"/>
        <v/>
      </c>
    </row>
    <row r="56" spans="3:30" x14ac:dyDescent="0.25">
      <c r="C56"/>
      <c r="D56" s="35" t="str">
        <f t="shared" si="6"/>
        <v/>
      </c>
      <c r="F56" s="34" t="str">
        <f t="shared" si="7"/>
        <v/>
      </c>
      <c r="AC56" s="34" t="str">
        <f t="shared" si="8"/>
        <v/>
      </c>
      <c r="AD56" s="34" t="str">
        <f t="shared" si="8"/>
        <v/>
      </c>
    </row>
    <row r="57" spans="3:30" x14ac:dyDescent="0.25">
      <c r="C57"/>
      <c r="D57" s="35" t="str">
        <f t="shared" si="6"/>
        <v/>
      </c>
      <c r="F57" s="34" t="str">
        <f t="shared" si="7"/>
        <v/>
      </c>
      <c r="AC57" s="34" t="str">
        <f t="shared" si="8"/>
        <v/>
      </c>
      <c r="AD57" s="34" t="str">
        <f t="shared" si="8"/>
        <v/>
      </c>
    </row>
    <row r="58" spans="3:30" x14ac:dyDescent="0.25">
      <c r="C58"/>
      <c r="D58" s="35" t="str">
        <f t="shared" si="6"/>
        <v/>
      </c>
      <c r="F58" s="34" t="str">
        <f t="shared" si="7"/>
        <v/>
      </c>
      <c r="AC58" s="34" t="str">
        <f t="shared" si="8"/>
        <v/>
      </c>
      <c r="AD58" s="34" t="str">
        <f t="shared" si="8"/>
        <v/>
      </c>
    </row>
    <row r="59" spans="3:30" x14ac:dyDescent="0.25">
      <c r="C59"/>
      <c r="D59" s="35" t="str">
        <f t="shared" si="6"/>
        <v/>
      </c>
      <c r="F59" s="34" t="str">
        <f t="shared" si="7"/>
        <v/>
      </c>
      <c r="AC59" s="34" t="str">
        <f t="shared" ref="AC59:AD62" si="9">IF(OR(AC$14="",$E59=""),"",AB59)</f>
        <v/>
      </c>
      <c r="AD59" s="34" t="str">
        <f t="shared" si="9"/>
        <v/>
      </c>
    </row>
    <row r="60" spans="3:30" x14ac:dyDescent="0.25">
      <c r="C60"/>
      <c r="D60" s="35" t="str">
        <f t="shared" si="6"/>
        <v/>
      </c>
      <c r="F60" s="34" t="str">
        <f t="shared" si="7"/>
        <v/>
      </c>
      <c r="AC60" s="34" t="str">
        <f t="shared" si="9"/>
        <v/>
      </c>
      <c r="AD60" s="34" t="str">
        <f t="shared" si="9"/>
        <v/>
      </c>
    </row>
    <row r="61" spans="3:30" x14ac:dyDescent="0.25">
      <c r="C61"/>
      <c r="D61" s="35" t="str">
        <f t="shared" si="6"/>
        <v/>
      </c>
      <c r="F61" s="34" t="str">
        <f t="shared" si="7"/>
        <v/>
      </c>
      <c r="G61" s="34" t="str">
        <f t="shared" ref="G61:AB61" si="10">IF(OR(G$14="",$E61=""),"",F61)</f>
        <v/>
      </c>
      <c r="H61" s="34" t="str">
        <f t="shared" si="10"/>
        <v/>
      </c>
      <c r="I61" s="34" t="str">
        <f t="shared" si="10"/>
        <v/>
      </c>
      <c r="J61" s="34" t="str">
        <f t="shared" si="10"/>
        <v/>
      </c>
      <c r="K61" s="34" t="str">
        <f t="shared" si="10"/>
        <v/>
      </c>
      <c r="L61" s="34" t="str">
        <f t="shared" si="10"/>
        <v/>
      </c>
      <c r="M61" s="34" t="str">
        <f t="shared" si="10"/>
        <v/>
      </c>
      <c r="N61" s="34" t="str">
        <f t="shared" si="10"/>
        <v/>
      </c>
      <c r="O61" s="34" t="str">
        <f t="shared" si="10"/>
        <v/>
      </c>
      <c r="P61" s="34" t="str">
        <f t="shared" si="10"/>
        <v/>
      </c>
      <c r="Q61" s="34" t="str">
        <f t="shared" si="10"/>
        <v/>
      </c>
      <c r="R61" s="34" t="str">
        <f t="shared" si="10"/>
        <v/>
      </c>
      <c r="S61" s="34" t="str">
        <f t="shared" si="10"/>
        <v/>
      </c>
      <c r="T61" s="34" t="str">
        <f t="shared" si="10"/>
        <v/>
      </c>
      <c r="U61" s="34" t="str">
        <f t="shared" si="10"/>
        <v/>
      </c>
      <c r="V61" s="34" t="str">
        <f t="shared" si="10"/>
        <v/>
      </c>
      <c r="W61" s="34" t="str">
        <f t="shared" si="10"/>
        <v/>
      </c>
      <c r="X61" s="34" t="str">
        <f t="shared" si="10"/>
        <v/>
      </c>
      <c r="Y61" s="34" t="str">
        <f t="shared" si="10"/>
        <v/>
      </c>
      <c r="Z61" s="34" t="str">
        <f t="shared" si="10"/>
        <v/>
      </c>
      <c r="AA61" s="34" t="str">
        <f t="shared" si="10"/>
        <v/>
      </c>
      <c r="AB61" s="34" t="str">
        <f t="shared" si="10"/>
        <v/>
      </c>
      <c r="AC61" s="34" t="str">
        <f t="shared" si="9"/>
        <v/>
      </c>
      <c r="AD61" s="34" t="str">
        <f t="shared" si="9"/>
        <v/>
      </c>
    </row>
    <row r="62" spans="3:30" x14ac:dyDescent="0.25">
      <c r="C62"/>
      <c r="D62" s="35" t="str">
        <f t="shared" si="6"/>
        <v/>
      </c>
      <c r="F62" s="34" t="str">
        <f t="shared" si="7"/>
        <v/>
      </c>
      <c r="G62" s="34" t="str">
        <f t="shared" ref="G62:AB62" si="11">IF(OR(G$14="",$E62=""),"",F62)</f>
        <v/>
      </c>
      <c r="H62" s="34" t="str">
        <f t="shared" si="11"/>
        <v/>
      </c>
      <c r="I62" s="34" t="str">
        <f t="shared" si="11"/>
        <v/>
      </c>
      <c r="J62" s="34" t="str">
        <f t="shared" si="11"/>
        <v/>
      </c>
      <c r="K62" s="34" t="str">
        <f t="shared" si="11"/>
        <v/>
      </c>
      <c r="L62" s="34" t="str">
        <f t="shared" si="11"/>
        <v/>
      </c>
      <c r="M62" s="34" t="str">
        <f t="shared" si="11"/>
        <v/>
      </c>
      <c r="N62" s="34" t="str">
        <f t="shared" si="11"/>
        <v/>
      </c>
      <c r="O62" s="34" t="str">
        <f t="shared" si="11"/>
        <v/>
      </c>
      <c r="P62" s="34" t="str">
        <f t="shared" si="11"/>
        <v/>
      </c>
      <c r="Q62" s="34" t="str">
        <f t="shared" si="11"/>
        <v/>
      </c>
      <c r="R62" s="34" t="str">
        <f t="shared" si="11"/>
        <v/>
      </c>
      <c r="S62" s="34" t="str">
        <f t="shared" si="11"/>
        <v/>
      </c>
      <c r="T62" s="34" t="str">
        <f t="shared" si="11"/>
        <v/>
      </c>
      <c r="U62" s="34" t="str">
        <f t="shared" si="11"/>
        <v/>
      </c>
      <c r="V62" s="34" t="str">
        <f t="shared" si="11"/>
        <v/>
      </c>
      <c r="W62" s="34" t="str">
        <f t="shared" si="11"/>
        <v/>
      </c>
      <c r="X62" s="34" t="str">
        <f t="shared" si="11"/>
        <v/>
      </c>
      <c r="Y62" s="34" t="str">
        <f t="shared" si="11"/>
        <v/>
      </c>
      <c r="Z62" s="34" t="str">
        <f t="shared" si="11"/>
        <v/>
      </c>
      <c r="AA62" s="34" t="str">
        <f t="shared" si="11"/>
        <v/>
      </c>
      <c r="AB62" s="34" t="str">
        <f t="shared" si="11"/>
        <v/>
      </c>
      <c r="AC62" s="34" t="str">
        <f t="shared" si="9"/>
        <v/>
      </c>
      <c r="AD62" s="34" t="str">
        <f t="shared" si="9"/>
        <v/>
      </c>
    </row>
    <row r="63" spans="3:30" x14ac:dyDescent="0.25">
      <c r="C63"/>
      <c r="D63" s="35" t="str">
        <f t="shared" si="6"/>
        <v/>
      </c>
    </row>
    <row r="64" spans="3:30" x14ac:dyDescent="0.25">
      <c r="C64"/>
    </row>
    <row r="65" spans="3:3" x14ac:dyDescent="0.25">
      <c r="C65"/>
    </row>
    <row r="66" spans="3:3" x14ac:dyDescent="0.25">
      <c r="C66"/>
    </row>
    <row r="67" spans="3:3" x14ac:dyDescent="0.25">
      <c r="C67"/>
    </row>
    <row r="68" spans="3:3" x14ac:dyDescent="0.25">
      <c r="C68"/>
    </row>
    <row r="69" spans="3:3" x14ac:dyDescent="0.25">
      <c r="C69"/>
    </row>
    <row r="70" spans="3:3" x14ac:dyDescent="0.25">
      <c r="C70"/>
    </row>
    <row r="71" spans="3:3" x14ac:dyDescent="0.25">
      <c r="C71"/>
    </row>
    <row r="72" spans="3:3" x14ac:dyDescent="0.25">
      <c r="C72"/>
    </row>
    <row r="73" spans="3:3" x14ac:dyDescent="0.25">
      <c r="C73"/>
    </row>
    <row r="74" spans="3:3" x14ac:dyDescent="0.25">
      <c r="C74"/>
    </row>
    <row r="75" spans="3:3" x14ac:dyDescent="0.25">
      <c r="C75"/>
    </row>
    <row r="76" spans="3:3" x14ac:dyDescent="0.25">
      <c r="C76"/>
    </row>
    <row r="77" spans="3:3" x14ac:dyDescent="0.25">
      <c r="C77"/>
    </row>
    <row r="78" spans="3:3" x14ac:dyDescent="0.25">
      <c r="C78"/>
    </row>
    <row r="79" spans="3:3" x14ac:dyDescent="0.25">
      <c r="C79"/>
    </row>
    <row r="80" spans="3:3" x14ac:dyDescent="0.25">
      <c r="C80"/>
    </row>
    <row r="81" spans="3:3" x14ac:dyDescent="0.25">
      <c r="C81"/>
    </row>
    <row r="82" spans="3:3" x14ac:dyDescent="0.25">
      <c r="C82"/>
    </row>
    <row r="83" spans="3:3" x14ac:dyDescent="0.25">
      <c r="C83"/>
    </row>
    <row r="84" spans="3:3" x14ac:dyDescent="0.25">
      <c r="C84"/>
    </row>
    <row r="85" spans="3:3" x14ac:dyDescent="0.25">
      <c r="C85"/>
    </row>
    <row r="86" spans="3:3" x14ac:dyDescent="0.25">
      <c r="C86"/>
    </row>
  </sheetData>
  <phoneticPr fontId="2" type="noConversion"/>
  <conditionalFormatting sqref="A15:AD57">
    <cfRule type="expression" dxfId="7" priority="1" stopIfTrue="1">
      <formula>$D15="Done"</formula>
    </cfRule>
    <cfRule type="expression" dxfId="6" priority="2" stopIfTrue="1">
      <formula>$D15="Ongoing"</formula>
    </cfRule>
  </conditionalFormatting>
  <dataValidations count="1">
    <dataValidation type="list" allowBlank="1" showInputMessage="1" sqref="D3:D8 D15:D63" xr:uid="{00000000-0002-0000-0300-000000000000}">
      <formula1>"Planned,Ongoing,Done"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1" r:id="rId3" name="Button 3">
              <controlPr defaultSize="0" print="0" autoFill="0" autoPict="0" macro="[0]!SortSprintTasks">
                <anchor moveWithCells="1" sizeWithCells="1">
                  <from>
                    <xdr:col>0</xdr:col>
                    <xdr:colOff>241300</xdr:colOff>
                    <xdr:row>5</xdr:row>
                    <xdr:rowOff>82550</xdr:rowOff>
                  </from>
                  <to>
                    <xdr:col>0</xdr:col>
                    <xdr:colOff>2101850</xdr:colOff>
                    <xdr:row>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4" name="Button 7">
              <controlPr defaultSize="0" print="0" autoFill="0" autoPict="0" macro="[0]!UpdateTaskSlips">
                <anchor moveWithCells="1" sizeWithCells="1">
                  <from>
                    <xdr:col>0</xdr:col>
                    <xdr:colOff>2362200</xdr:colOff>
                    <xdr:row>5</xdr:row>
                    <xdr:rowOff>82550</xdr:rowOff>
                  </from>
                  <to>
                    <xdr:col>2</xdr:col>
                    <xdr:colOff>311150</xdr:colOff>
                    <xdr:row>7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6CC0A-73F4-4490-88B2-4BF206A31B94}">
  <sheetPr codeName="Sheet7"/>
  <dimension ref="A1:AD80"/>
  <sheetViews>
    <sheetView tabSelected="1" workbookViewId="0">
      <pane ySplit="14" topLeftCell="A15" activePane="bottomLeft" state="frozen"/>
      <selection pane="bottomLeft" activeCell="A23" sqref="A23"/>
    </sheetView>
  </sheetViews>
  <sheetFormatPr baseColWidth="10" defaultColWidth="9.1796875" defaultRowHeight="12.5" x14ac:dyDescent="0.25"/>
  <cols>
    <col min="1" max="1" width="47.08984375" style="35" customWidth="1"/>
    <col min="2" max="2" width="13.7265625" style="34" customWidth="1"/>
    <col min="3" max="3" width="13.6328125" style="35" customWidth="1"/>
    <col min="4" max="4" width="10.81640625" style="35" customWidth="1"/>
    <col min="5" max="5" width="6.453125" style="34" customWidth="1"/>
    <col min="6" max="30" width="4.453125" style="34" customWidth="1"/>
    <col min="31" max="16384" width="9.1796875" style="35"/>
  </cols>
  <sheetData>
    <row r="1" spans="1:30" ht="17.5" x14ac:dyDescent="0.25">
      <c r="A1" s="67">
        <v>1</v>
      </c>
      <c r="B1" s="68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</row>
    <row r="2" spans="1:30" x14ac:dyDescent="0.25"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</row>
    <row r="9" spans="1:30" ht="13" x14ac:dyDescent="0.25">
      <c r="A9" s="69" t="s">
        <v>12</v>
      </c>
      <c r="B9" s="70">
        <v>14</v>
      </c>
      <c r="C9" s="69"/>
      <c r="D9" s="71"/>
      <c r="E9" s="69" t="s">
        <v>9</v>
      </c>
      <c r="F9" s="69" t="s">
        <v>11</v>
      </c>
      <c r="G9" s="69"/>
      <c r="H9" s="69"/>
      <c r="I9" s="69"/>
      <c r="J9" s="69"/>
      <c r="K9" s="69"/>
      <c r="L9" s="69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</row>
    <row r="10" spans="1:30" ht="13" x14ac:dyDescent="0.25">
      <c r="A10" s="69" t="s">
        <v>29</v>
      </c>
      <c r="B10" s="70">
        <v>14</v>
      </c>
      <c r="C10" s="69" t="s">
        <v>30</v>
      </c>
      <c r="D10" s="69" t="s">
        <v>17</v>
      </c>
      <c r="E10" s="72">
        <f ca="1">SUM(OFFSET(E14,1,0,TaskRows,1))</f>
        <v>55</v>
      </c>
      <c r="F10" s="72">
        <f ca="1">IF(AND(SUM(OFFSET(F14,1,0,TaskRows,1))=0),0,SUM(OFFSET(F14,1,0,TaskRows,1)))</f>
        <v>50</v>
      </c>
      <c r="G10" s="72">
        <f t="shared" ref="G10:AD10" ca="1" si="0">IF(AND(SUM(OFFSET(G14,1,0,TaskRows,1))=0),"",SUM(OFFSET(G14,1,0,TaskRows,1)))</f>
        <v>45</v>
      </c>
      <c r="H10" s="72">
        <f t="shared" ca="1" si="0"/>
        <v>40</v>
      </c>
      <c r="I10" s="72">
        <f t="shared" ca="1" si="0"/>
        <v>35</v>
      </c>
      <c r="J10" s="72">
        <f t="shared" ca="1" si="0"/>
        <v>30</v>
      </c>
      <c r="K10" s="72" t="str">
        <f t="shared" ca="1" si="0"/>
        <v/>
      </c>
      <c r="L10" s="72">
        <f t="shared" ca="1" si="0"/>
        <v>30</v>
      </c>
      <c r="M10" s="72">
        <f t="shared" ca="1" si="0"/>
        <v>25</v>
      </c>
      <c r="N10" s="72">
        <f t="shared" ca="1" si="0"/>
        <v>20</v>
      </c>
      <c r="O10" s="72">
        <f t="shared" ca="1" si="0"/>
        <v>15</v>
      </c>
      <c r="P10" s="72">
        <f t="shared" ca="1" si="0"/>
        <v>10</v>
      </c>
      <c r="Q10" s="72">
        <f t="shared" ca="1" si="0"/>
        <v>5</v>
      </c>
      <c r="R10" s="72" t="str">
        <f t="shared" ca="1" si="0"/>
        <v/>
      </c>
      <c r="S10" s="72" t="str">
        <f t="shared" ca="1" si="0"/>
        <v/>
      </c>
      <c r="T10" s="72" t="str">
        <f t="shared" ca="1" si="0"/>
        <v/>
      </c>
      <c r="U10" s="72" t="str">
        <f t="shared" ca="1" si="0"/>
        <v/>
      </c>
      <c r="V10" s="72" t="str">
        <f t="shared" ca="1" si="0"/>
        <v/>
      </c>
      <c r="W10" s="72" t="str">
        <f t="shared" ca="1" si="0"/>
        <v/>
      </c>
      <c r="X10" s="72" t="str">
        <f t="shared" ca="1" si="0"/>
        <v/>
      </c>
      <c r="Y10" s="72" t="str">
        <f t="shared" ca="1" si="0"/>
        <v/>
      </c>
      <c r="Z10" s="72" t="str">
        <f t="shared" ca="1" si="0"/>
        <v/>
      </c>
      <c r="AA10" s="72" t="str">
        <f t="shared" ca="1" si="0"/>
        <v/>
      </c>
      <c r="AB10" s="72" t="str">
        <f t="shared" ca="1" si="0"/>
        <v/>
      </c>
      <c r="AC10" s="72" t="str">
        <f t="shared" ca="1" si="0"/>
        <v/>
      </c>
      <c r="AD10" s="72" t="str">
        <f t="shared" ca="1" si="0"/>
        <v/>
      </c>
    </row>
    <row r="11" spans="1:30" customFormat="1" hidden="1" x14ac:dyDescent="0.25">
      <c r="A11" t="s">
        <v>22</v>
      </c>
      <c r="B11" s="2">
        <f>IF(COUNTA(A15:A235)=0,1,COUNTA(A15:A235))</f>
        <v>9</v>
      </c>
      <c r="C11" t="s">
        <v>23</v>
      </c>
      <c r="D11" s="2">
        <f ca="1">IF(COUNTIF(F10:AD10,"&gt;0")=0,1,COUNTIF(F10:AD10,"&gt;0"))</f>
        <v>11</v>
      </c>
      <c r="E11" s="2"/>
      <c r="F11" s="2">
        <f ca="1">IF(F14="","",$E10-$E10/($B9-1)*(F14-1))</f>
        <v>55</v>
      </c>
      <c r="G11" s="2">
        <f t="shared" ref="G11:AD11" ca="1" si="1">IF(G14="","",TotalEffort-TotalEffort/(ImplementationDays)*(G14-1))</f>
        <v>51.071428571428569</v>
      </c>
      <c r="H11" s="2">
        <f t="shared" ca="1" si="1"/>
        <v>47.142857142857146</v>
      </c>
      <c r="I11" s="2">
        <f t="shared" ca="1" si="1"/>
        <v>43.214285714285715</v>
      </c>
      <c r="J11" s="2">
        <f t="shared" ca="1" si="1"/>
        <v>39.285714285714285</v>
      </c>
      <c r="K11" s="2">
        <f t="shared" ca="1" si="1"/>
        <v>35.357142857142861</v>
      </c>
      <c r="L11" s="2">
        <f t="shared" ca="1" si="1"/>
        <v>31.428571428571431</v>
      </c>
      <c r="M11" s="2">
        <f t="shared" ca="1" si="1"/>
        <v>27.5</v>
      </c>
      <c r="N11" s="2">
        <f t="shared" ca="1" si="1"/>
        <v>23.571428571428573</v>
      </c>
      <c r="O11" s="2">
        <f t="shared" ca="1" si="1"/>
        <v>19.642857142857146</v>
      </c>
      <c r="P11" s="2">
        <f t="shared" ca="1" si="1"/>
        <v>15.714285714285715</v>
      </c>
      <c r="Q11" s="2">
        <f t="shared" ca="1" si="1"/>
        <v>11.785714285714285</v>
      </c>
      <c r="R11" s="2">
        <f t="shared" ca="1" si="1"/>
        <v>7.8571428571428612</v>
      </c>
      <c r="S11" s="2">
        <f t="shared" ca="1" si="1"/>
        <v>3.9285714285714306</v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customFormat="1" ht="13" hidden="1" x14ac:dyDescent="0.3">
      <c r="A12" s="56" t="s">
        <v>26</v>
      </c>
      <c r="C12" t="s">
        <v>24</v>
      </c>
      <c r="D12" s="2"/>
      <c r="E12" s="2"/>
      <c r="F12" s="2" t="e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#VALUE!</v>
      </c>
      <c r="G12" s="2" t="e">
        <f t="shared" ca="1" si="2"/>
        <v>#VALUE!</v>
      </c>
      <c r="H12" s="2" t="e">
        <f t="shared" ca="1" si="2"/>
        <v>#VALUE!</v>
      </c>
      <c r="I12" s="2" t="e">
        <f t="shared" ca="1" si="2"/>
        <v>#VALUE!</v>
      </c>
      <c r="J12" s="2" t="e">
        <f t="shared" ca="1" si="2"/>
        <v>#VALUE!</v>
      </c>
      <c r="K12" s="2" t="e">
        <f t="shared" ca="1" si="2"/>
        <v>#VALUE!</v>
      </c>
      <c r="L12" s="2" t="e">
        <f t="shared" ca="1" si="2"/>
        <v>#VALUE!</v>
      </c>
      <c r="M12" s="2" t="e">
        <f t="shared" ca="1" si="2"/>
        <v>#VALUE!</v>
      </c>
      <c r="N12" s="2" t="e">
        <f t="shared" ca="1" si="2"/>
        <v>#VALUE!</v>
      </c>
      <c r="O12" s="2" t="e">
        <f t="shared" ca="1" si="2"/>
        <v>#VALUE!</v>
      </c>
      <c r="P12" s="2" t="e">
        <f t="shared" ca="1" si="2"/>
        <v>#VALUE!</v>
      </c>
      <c r="Q12" s="2" t="e">
        <f t="shared" ca="1" si="2"/>
        <v>#VALUE!</v>
      </c>
      <c r="R12" s="2" t="e">
        <f t="shared" ca="1" si="2"/>
        <v>#VALUE!</v>
      </c>
      <c r="S12" s="2" t="e">
        <f t="shared" ca="1" si="2"/>
        <v>#VALUE!</v>
      </c>
      <c r="T12" s="2" t="e">
        <f t="shared" ca="1" si="2"/>
        <v>#VALUE!</v>
      </c>
      <c r="U12" s="2" t="e">
        <f t="shared" ca="1" si="2"/>
        <v>#VALUE!</v>
      </c>
      <c r="V12" s="2" t="e">
        <f t="shared" ca="1" si="2"/>
        <v>#VALUE!</v>
      </c>
      <c r="W12" s="2" t="e">
        <f t="shared" ca="1" si="2"/>
        <v>#VALUE!</v>
      </c>
      <c r="X12" s="2" t="e">
        <f t="shared" ca="1" si="2"/>
        <v>#VALUE!</v>
      </c>
      <c r="Y12" s="2" t="e">
        <f t="shared" ca="1" si="2"/>
        <v>#VALUE!</v>
      </c>
      <c r="Z12" s="2" t="e">
        <f t="shared" ca="1" si="2"/>
        <v>#VALUE!</v>
      </c>
      <c r="AA12" s="2" t="e">
        <f t="shared" ca="1" si="2"/>
        <v>#VALUE!</v>
      </c>
      <c r="AB12" s="2" t="e">
        <f t="shared" ca="1" si="2"/>
        <v>#VALUE!</v>
      </c>
      <c r="AC12" s="2" t="e">
        <f t="shared" ca="1" si="2"/>
        <v>#VALUE!</v>
      </c>
      <c r="AD12" s="2" t="e">
        <f t="shared" ca="1" si="2"/>
        <v>#VALUE!</v>
      </c>
    </row>
    <row r="13" spans="1:30" customFormat="1" ht="13" hidden="1" x14ac:dyDescent="0.3">
      <c r="A13" s="56" t="s">
        <v>27</v>
      </c>
      <c r="C13" t="s">
        <v>25</v>
      </c>
      <c r="D13" s="2">
        <f ca="1">IF(DoneDays&gt;B10,B10,DoneDays)</f>
        <v>11</v>
      </c>
      <c r="E13" s="2"/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ht="13" x14ac:dyDescent="0.25">
      <c r="A14" s="69" t="s">
        <v>7</v>
      </c>
      <c r="B14" s="73" t="s">
        <v>21</v>
      </c>
      <c r="C14" s="69" t="s">
        <v>8</v>
      </c>
      <c r="D14" s="69" t="s">
        <v>3</v>
      </c>
      <c r="E14" s="73" t="s">
        <v>10</v>
      </c>
      <c r="F14" s="73">
        <v>1</v>
      </c>
      <c r="G14" s="73">
        <f t="shared" ref="G14:AD14" si="3">IF($B$9&gt;F14,F14+1,"")</f>
        <v>2</v>
      </c>
      <c r="H14" s="73">
        <f t="shared" si="3"/>
        <v>3</v>
      </c>
      <c r="I14" s="73">
        <f t="shared" si="3"/>
        <v>4</v>
      </c>
      <c r="J14" s="73">
        <f t="shared" si="3"/>
        <v>5</v>
      </c>
      <c r="K14" s="73">
        <f t="shared" si="3"/>
        <v>6</v>
      </c>
      <c r="L14" s="73">
        <f t="shared" si="3"/>
        <v>7</v>
      </c>
      <c r="M14" s="73">
        <f t="shared" si="3"/>
        <v>8</v>
      </c>
      <c r="N14" s="73">
        <f t="shared" si="3"/>
        <v>9</v>
      </c>
      <c r="O14" s="73">
        <f t="shared" si="3"/>
        <v>10</v>
      </c>
      <c r="P14" s="73">
        <f t="shared" si="3"/>
        <v>11</v>
      </c>
      <c r="Q14" s="73">
        <f t="shared" si="3"/>
        <v>12</v>
      </c>
      <c r="R14" s="73">
        <f t="shared" si="3"/>
        <v>13</v>
      </c>
      <c r="S14" s="73">
        <f t="shared" si="3"/>
        <v>14</v>
      </c>
      <c r="T14" s="73" t="str">
        <f t="shared" si="3"/>
        <v/>
      </c>
      <c r="U14" s="73" t="str">
        <f t="shared" si="3"/>
        <v/>
      </c>
      <c r="V14" s="73" t="str">
        <f t="shared" si="3"/>
        <v/>
      </c>
      <c r="W14" s="73" t="str">
        <f t="shared" si="3"/>
        <v/>
      </c>
      <c r="X14" s="73" t="str">
        <f t="shared" si="3"/>
        <v/>
      </c>
      <c r="Y14" s="73" t="str">
        <f t="shared" si="3"/>
        <v/>
      </c>
      <c r="Z14" s="73" t="str">
        <f t="shared" si="3"/>
        <v/>
      </c>
      <c r="AA14" s="73" t="str">
        <f t="shared" si="3"/>
        <v/>
      </c>
      <c r="AB14" s="73" t="str">
        <f t="shared" si="3"/>
        <v/>
      </c>
      <c r="AC14" s="73" t="str">
        <f t="shared" si="3"/>
        <v/>
      </c>
      <c r="AD14" s="73" t="str">
        <f t="shared" si="3"/>
        <v/>
      </c>
    </row>
    <row r="15" spans="1:30" ht="15" customHeight="1" x14ac:dyDescent="0.25">
      <c r="A15" s="102" t="s">
        <v>133</v>
      </c>
      <c r="B15" s="105" t="s">
        <v>101</v>
      </c>
      <c r="C15" s="104" t="s">
        <v>125</v>
      </c>
      <c r="D15" t="s">
        <v>79</v>
      </c>
      <c r="E15" s="34">
        <v>5</v>
      </c>
      <c r="F15" s="34">
        <v>0</v>
      </c>
      <c r="K15" s="70"/>
      <c r="L15" s="70"/>
      <c r="AC15" s="34" t="str">
        <f t="shared" ref="AC15:AD27" si="4">IF(OR(AC$14="",$E15=""),"",AB15)</f>
        <v/>
      </c>
      <c r="AD15" s="34" t="str">
        <f t="shared" si="4"/>
        <v/>
      </c>
    </row>
    <row r="16" spans="1:30" x14ac:dyDescent="0.25">
      <c r="A16" s="32" t="s">
        <v>128</v>
      </c>
      <c r="B16" s="34" t="s">
        <v>101</v>
      </c>
      <c r="C16" t="s">
        <v>125</v>
      </c>
      <c r="D16" t="s">
        <v>79</v>
      </c>
      <c r="E16" s="34">
        <v>4</v>
      </c>
      <c r="F16" s="34">
        <v>4</v>
      </c>
      <c r="G16" s="34">
        <v>0</v>
      </c>
      <c r="AC16" s="34" t="str">
        <f t="shared" si="4"/>
        <v/>
      </c>
      <c r="AD16" s="34" t="str">
        <f t="shared" si="4"/>
        <v/>
      </c>
    </row>
    <row r="17" spans="1:30" x14ac:dyDescent="0.25">
      <c r="A17" s="32" t="s">
        <v>127</v>
      </c>
      <c r="B17" s="34" t="s">
        <v>101</v>
      </c>
      <c r="C17" t="s">
        <v>125</v>
      </c>
      <c r="D17" t="s">
        <v>79</v>
      </c>
      <c r="E17" s="34">
        <v>6</v>
      </c>
      <c r="F17" s="34">
        <v>6</v>
      </c>
      <c r="G17" s="34">
        <v>5</v>
      </c>
      <c r="H17" s="34">
        <v>0</v>
      </c>
    </row>
    <row r="18" spans="1:30" x14ac:dyDescent="0.25">
      <c r="A18" s="102" t="s">
        <v>137</v>
      </c>
      <c r="B18" s="34" t="s">
        <v>101</v>
      </c>
      <c r="C18" t="s">
        <v>125</v>
      </c>
      <c r="D18" t="s">
        <v>79</v>
      </c>
      <c r="E18" s="34">
        <v>4</v>
      </c>
      <c r="F18" s="34">
        <v>4</v>
      </c>
      <c r="G18" s="34">
        <v>4</v>
      </c>
      <c r="H18" s="34">
        <v>4</v>
      </c>
      <c r="I18" s="34">
        <v>0</v>
      </c>
    </row>
    <row r="19" spans="1:30" x14ac:dyDescent="0.25">
      <c r="A19" s="32" t="s">
        <v>134</v>
      </c>
      <c r="B19" s="34" t="s">
        <v>101</v>
      </c>
      <c r="C19" t="s">
        <v>125</v>
      </c>
      <c r="D19" t="s">
        <v>79</v>
      </c>
      <c r="E19" s="34">
        <v>6</v>
      </c>
      <c r="F19" s="34">
        <v>6</v>
      </c>
      <c r="G19" s="34">
        <v>6</v>
      </c>
      <c r="H19" s="34">
        <v>6</v>
      </c>
      <c r="I19" s="34">
        <v>5</v>
      </c>
      <c r="J19" s="34">
        <v>0</v>
      </c>
      <c r="AC19" s="34" t="str">
        <f t="shared" si="4"/>
        <v/>
      </c>
      <c r="AD19" s="34" t="str">
        <f t="shared" si="4"/>
        <v/>
      </c>
    </row>
    <row r="20" spans="1:30" x14ac:dyDescent="0.25">
      <c r="A20" s="32" t="s">
        <v>130</v>
      </c>
      <c r="B20" s="34" t="s">
        <v>101</v>
      </c>
      <c r="C20" t="s">
        <v>125</v>
      </c>
      <c r="D20" t="s">
        <v>79</v>
      </c>
      <c r="E20" s="34">
        <v>10</v>
      </c>
      <c r="F20" s="34">
        <v>10</v>
      </c>
      <c r="G20" s="34">
        <v>10</v>
      </c>
      <c r="H20" s="34">
        <v>10</v>
      </c>
      <c r="I20" s="34">
        <v>10</v>
      </c>
      <c r="J20" s="34">
        <v>10</v>
      </c>
      <c r="L20" s="34">
        <v>10</v>
      </c>
      <c r="M20" s="34">
        <v>5</v>
      </c>
      <c r="N20" s="34">
        <v>0</v>
      </c>
      <c r="AC20" s="34" t="str">
        <f t="shared" si="4"/>
        <v/>
      </c>
      <c r="AD20" s="34" t="str">
        <f t="shared" si="4"/>
        <v/>
      </c>
    </row>
    <row r="21" spans="1:30" x14ac:dyDescent="0.25">
      <c r="A21" s="32" t="s">
        <v>135</v>
      </c>
      <c r="B21" s="34" t="s">
        <v>101</v>
      </c>
      <c r="C21" t="s">
        <v>125</v>
      </c>
      <c r="D21" t="s">
        <v>79</v>
      </c>
      <c r="E21" s="34">
        <v>10</v>
      </c>
      <c r="F21" s="34">
        <v>10</v>
      </c>
      <c r="G21" s="34">
        <v>10</v>
      </c>
      <c r="H21" s="34">
        <v>10</v>
      </c>
      <c r="I21" s="34">
        <v>10</v>
      </c>
      <c r="J21" s="34">
        <v>10</v>
      </c>
      <c r="L21" s="34">
        <v>10</v>
      </c>
      <c r="M21" s="34">
        <v>10</v>
      </c>
      <c r="N21" s="34">
        <v>10</v>
      </c>
      <c r="O21" s="34">
        <v>5</v>
      </c>
      <c r="P21" s="34">
        <v>0</v>
      </c>
      <c r="AC21" s="34" t="str">
        <f t="shared" si="4"/>
        <v/>
      </c>
      <c r="AD21" s="34" t="str">
        <f t="shared" si="4"/>
        <v/>
      </c>
    </row>
    <row r="22" spans="1:30" x14ac:dyDescent="0.25">
      <c r="A22" s="102" t="s">
        <v>138</v>
      </c>
      <c r="B22" s="34" t="s">
        <v>101</v>
      </c>
      <c r="C22" t="s">
        <v>125</v>
      </c>
      <c r="D22" t="s">
        <v>79</v>
      </c>
      <c r="E22" s="34">
        <v>5</v>
      </c>
      <c r="F22" s="34">
        <v>5</v>
      </c>
      <c r="G22" s="34">
        <v>5</v>
      </c>
      <c r="H22" s="34">
        <v>5</v>
      </c>
      <c r="I22" s="34">
        <v>5</v>
      </c>
      <c r="J22" s="34">
        <v>5</v>
      </c>
      <c r="L22" s="34">
        <v>5</v>
      </c>
      <c r="M22" s="34">
        <v>5</v>
      </c>
      <c r="N22" s="34">
        <v>5</v>
      </c>
      <c r="O22" s="34">
        <v>5</v>
      </c>
      <c r="P22" s="34">
        <v>5</v>
      </c>
      <c r="Q22" s="34">
        <v>0</v>
      </c>
      <c r="AC22" s="34" t="str">
        <f t="shared" si="4"/>
        <v/>
      </c>
      <c r="AD22" s="34" t="str">
        <f t="shared" si="4"/>
        <v/>
      </c>
    </row>
    <row r="23" spans="1:30" x14ac:dyDescent="0.25">
      <c r="A23" s="102" t="s">
        <v>139</v>
      </c>
      <c r="B23" s="34" t="s">
        <v>101</v>
      </c>
      <c r="C23" t="s">
        <v>125</v>
      </c>
      <c r="D23" t="s">
        <v>79</v>
      </c>
      <c r="E23" s="34">
        <v>5</v>
      </c>
      <c r="F23" s="34">
        <v>5</v>
      </c>
      <c r="G23" s="34">
        <v>5</v>
      </c>
      <c r="H23" s="34">
        <v>5</v>
      </c>
      <c r="I23" s="34">
        <v>5</v>
      </c>
      <c r="J23" s="34">
        <v>5</v>
      </c>
      <c r="L23" s="34">
        <v>5</v>
      </c>
      <c r="M23" s="34">
        <v>5</v>
      </c>
      <c r="N23" s="34">
        <v>5</v>
      </c>
      <c r="O23" s="34">
        <v>5</v>
      </c>
      <c r="P23" s="34">
        <v>5</v>
      </c>
      <c r="Q23" s="34">
        <v>5</v>
      </c>
      <c r="R23" s="34">
        <v>0</v>
      </c>
      <c r="S23" s="34">
        <v>0</v>
      </c>
      <c r="AC23" s="34" t="str">
        <f t="shared" si="4"/>
        <v/>
      </c>
      <c r="AD23" s="34" t="str">
        <f t="shared" si="4"/>
        <v/>
      </c>
    </row>
    <row r="24" spans="1:30" x14ac:dyDescent="0.25">
      <c r="A24" s="32"/>
      <c r="C24"/>
      <c r="AC24" s="34" t="str">
        <f t="shared" si="4"/>
        <v/>
      </c>
      <c r="AD24" s="34" t="str">
        <f t="shared" si="4"/>
        <v/>
      </c>
    </row>
    <row r="25" spans="1:30" x14ac:dyDescent="0.25">
      <c r="A25" s="32"/>
      <c r="C25"/>
      <c r="AC25" s="34" t="str">
        <f t="shared" si="4"/>
        <v/>
      </c>
      <c r="AD25" s="34" t="str">
        <f t="shared" si="4"/>
        <v/>
      </c>
    </row>
    <row r="26" spans="1:30" x14ac:dyDescent="0.25">
      <c r="A26" s="32"/>
      <c r="C26"/>
      <c r="AC26" s="34" t="str">
        <f t="shared" si="4"/>
        <v/>
      </c>
      <c r="AD26" s="34" t="str">
        <f t="shared" si="4"/>
        <v/>
      </c>
    </row>
    <row r="27" spans="1:30" x14ac:dyDescent="0.25">
      <c r="A27" s="32"/>
      <c r="C27"/>
      <c r="AC27" s="34" t="str">
        <f t="shared" si="4"/>
        <v/>
      </c>
      <c r="AD27" s="34" t="str">
        <f t="shared" si="4"/>
        <v/>
      </c>
    </row>
    <row r="28" spans="1:30" x14ac:dyDescent="0.25">
      <c r="A28" s="32"/>
      <c r="C28"/>
    </row>
    <row r="29" spans="1:30" x14ac:dyDescent="0.25">
      <c r="A29" s="32"/>
      <c r="C29"/>
      <c r="AC29" s="34" t="str">
        <f t="shared" ref="AC29:AD44" si="5">IF(OR(AC$14="",$E29=""),"",AB29)</f>
        <v/>
      </c>
      <c r="AD29" s="34" t="str">
        <f t="shared" si="5"/>
        <v/>
      </c>
    </row>
    <row r="30" spans="1:30" x14ac:dyDescent="0.25">
      <c r="A30" s="32"/>
      <c r="C30"/>
      <c r="AC30" s="34" t="str">
        <f t="shared" si="5"/>
        <v/>
      </c>
      <c r="AD30" s="34" t="str">
        <f t="shared" si="5"/>
        <v/>
      </c>
    </row>
    <row r="31" spans="1:30" x14ac:dyDescent="0.25">
      <c r="A31" s="32"/>
      <c r="C31"/>
      <c r="AC31" s="34" t="str">
        <f t="shared" si="5"/>
        <v/>
      </c>
      <c r="AD31" s="34" t="str">
        <f t="shared" si="5"/>
        <v/>
      </c>
    </row>
    <row r="32" spans="1:30" x14ac:dyDescent="0.25">
      <c r="A32" s="32"/>
      <c r="C32"/>
      <c r="AC32" s="34" t="str">
        <f t="shared" si="5"/>
        <v/>
      </c>
      <c r="AD32" s="34" t="str">
        <f t="shared" si="5"/>
        <v/>
      </c>
    </row>
    <row r="33" spans="1:30" x14ac:dyDescent="0.25">
      <c r="A33" s="32"/>
      <c r="C33"/>
      <c r="AC33" s="34" t="str">
        <f t="shared" si="5"/>
        <v/>
      </c>
      <c r="AD33" s="34" t="str">
        <f t="shared" si="5"/>
        <v/>
      </c>
    </row>
    <row r="34" spans="1:30" x14ac:dyDescent="0.25">
      <c r="A34" s="32"/>
      <c r="C34"/>
      <c r="D34" s="35" t="str">
        <f t="shared" ref="D34:D57" si="6">IF(A34&lt;&gt;"","Planned","")</f>
        <v/>
      </c>
      <c r="F34" s="34" t="str">
        <f t="shared" ref="F34:U56" si="7">IF(OR(F$14="",$E34=""),"",E34)</f>
        <v/>
      </c>
      <c r="AC34" s="34" t="str">
        <f t="shared" si="5"/>
        <v/>
      </c>
      <c r="AD34" s="34" t="str">
        <f t="shared" si="5"/>
        <v/>
      </c>
    </row>
    <row r="35" spans="1:30" x14ac:dyDescent="0.25">
      <c r="C35"/>
      <c r="D35" s="35" t="str">
        <f t="shared" si="6"/>
        <v/>
      </c>
      <c r="F35" s="34" t="str">
        <f t="shared" si="7"/>
        <v/>
      </c>
      <c r="AC35" s="34" t="str">
        <f t="shared" si="5"/>
        <v/>
      </c>
      <c r="AD35" s="34" t="str">
        <f t="shared" si="5"/>
        <v/>
      </c>
    </row>
    <row r="36" spans="1:30" x14ac:dyDescent="0.25">
      <c r="C36"/>
      <c r="D36" s="35" t="str">
        <f t="shared" si="6"/>
        <v/>
      </c>
      <c r="F36" s="34" t="str">
        <f t="shared" si="7"/>
        <v/>
      </c>
      <c r="AC36" s="34" t="str">
        <f t="shared" si="5"/>
        <v/>
      </c>
      <c r="AD36" s="34" t="str">
        <f t="shared" si="5"/>
        <v/>
      </c>
    </row>
    <row r="37" spans="1:30" x14ac:dyDescent="0.25">
      <c r="C37"/>
      <c r="D37" s="35" t="str">
        <f t="shared" si="6"/>
        <v/>
      </c>
      <c r="F37" s="34" t="str">
        <f t="shared" si="7"/>
        <v/>
      </c>
      <c r="AC37" s="34" t="str">
        <f t="shared" si="5"/>
        <v/>
      </c>
      <c r="AD37" s="34" t="str">
        <f t="shared" si="5"/>
        <v/>
      </c>
    </row>
    <row r="38" spans="1:30" x14ac:dyDescent="0.25">
      <c r="C38"/>
      <c r="D38" s="35" t="str">
        <f t="shared" si="6"/>
        <v/>
      </c>
      <c r="F38" s="34" t="str">
        <f t="shared" si="7"/>
        <v/>
      </c>
      <c r="AC38" s="34" t="str">
        <f t="shared" si="5"/>
        <v/>
      </c>
      <c r="AD38" s="34" t="str">
        <f t="shared" si="5"/>
        <v/>
      </c>
    </row>
    <row r="39" spans="1:30" x14ac:dyDescent="0.25">
      <c r="C39"/>
      <c r="D39" s="35" t="str">
        <f t="shared" si="6"/>
        <v/>
      </c>
      <c r="F39" s="34" t="str">
        <f t="shared" si="7"/>
        <v/>
      </c>
      <c r="AC39" s="34" t="str">
        <f t="shared" si="5"/>
        <v/>
      </c>
      <c r="AD39" s="34" t="str">
        <f t="shared" si="5"/>
        <v/>
      </c>
    </row>
    <row r="40" spans="1:30" x14ac:dyDescent="0.25">
      <c r="C40"/>
      <c r="D40" s="35" t="str">
        <f t="shared" si="6"/>
        <v/>
      </c>
      <c r="F40" s="34" t="str">
        <f t="shared" si="7"/>
        <v/>
      </c>
      <c r="AC40" s="34" t="str">
        <f t="shared" si="5"/>
        <v/>
      </c>
      <c r="AD40" s="34" t="str">
        <f t="shared" si="5"/>
        <v/>
      </c>
    </row>
    <row r="41" spans="1:30" x14ac:dyDescent="0.25">
      <c r="C41"/>
      <c r="D41" s="35" t="str">
        <f t="shared" si="6"/>
        <v/>
      </c>
      <c r="F41" s="34" t="str">
        <f t="shared" si="7"/>
        <v/>
      </c>
      <c r="AC41" s="34" t="str">
        <f t="shared" si="5"/>
        <v/>
      </c>
      <c r="AD41" s="34" t="str">
        <f t="shared" si="5"/>
        <v/>
      </c>
    </row>
    <row r="42" spans="1:30" x14ac:dyDescent="0.25">
      <c r="C42"/>
      <c r="D42" s="35" t="str">
        <f t="shared" si="6"/>
        <v/>
      </c>
      <c r="F42" s="34" t="str">
        <f t="shared" si="7"/>
        <v/>
      </c>
      <c r="AC42" s="34" t="str">
        <f t="shared" si="5"/>
        <v/>
      </c>
      <c r="AD42" s="34" t="str">
        <f t="shared" si="5"/>
        <v/>
      </c>
    </row>
    <row r="43" spans="1:30" x14ac:dyDescent="0.25">
      <c r="C43"/>
      <c r="D43" s="35" t="str">
        <f t="shared" si="6"/>
        <v/>
      </c>
      <c r="F43" s="34" t="str">
        <f t="shared" si="7"/>
        <v/>
      </c>
      <c r="AC43" s="34" t="str">
        <f t="shared" si="5"/>
        <v/>
      </c>
      <c r="AD43" s="34" t="str">
        <f t="shared" si="5"/>
        <v/>
      </c>
    </row>
    <row r="44" spans="1:30" x14ac:dyDescent="0.25">
      <c r="C44"/>
      <c r="D44" s="35" t="str">
        <f t="shared" si="6"/>
        <v/>
      </c>
      <c r="F44" s="34" t="str">
        <f t="shared" si="7"/>
        <v/>
      </c>
      <c r="AC44" s="34" t="str">
        <f t="shared" si="5"/>
        <v/>
      </c>
      <c r="AD44" s="34" t="str">
        <f t="shared" si="5"/>
        <v/>
      </c>
    </row>
    <row r="45" spans="1:30" x14ac:dyDescent="0.25">
      <c r="C45"/>
      <c r="D45" s="35" t="str">
        <f t="shared" si="6"/>
        <v/>
      </c>
      <c r="F45" s="34" t="str">
        <f t="shared" si="7"/>
        <v/>
      </c>
      <c r="AC45" s="34" t="str">
        <f t="shared" ref="AC45:AD56" si="8">IF(OR(AC$14="",$E45=""),"",AB45)</f>
        <v/>
      </c>
      <c r="AD45" s="34" t="str">
        <f t="shared" si="8"/>
        <v/>
      </c>
    </row>
    <row r="46" spans="1:30" x14ac:dyDescent="0.25">
      <c r="C46"/>
      <c r="D46" s="35" t="str">
        <f t="shared" si="6"/>
        <v/>
      </c>
      <c r="F46" s="34" t="str">
        <f t="shared" si="7"/>
        <v/>
      </c>
      <c r="AC46" s="34" t="str">
        <f t="shared" si="8"/>
        <v/>
      </c>
      <c r="AD46" s="34" t="str">
        <f t="shared" si="8"/>
        <v/>
      </c>
    </row>
    <row r="47" spans="1:30" x14ac:dyDescent="0.25">
      <c r="C47"/>
      <c r="D47" s="35" t="str">
        <f t="shared" si="6"/>
        <v/>
      </c>
      <c r="F47" s="34" t="str">
        <f t="shared" si="7"/>
        <v/>
      </c>
      <c r="AC47" s="34" t="str">
        <f t="shared" si="8"/>
        <v/>
      </c>
      <c r="AD47" s="34" t="str">
        <f t="shared" si="8"/>
        <v/>
      </c>
    </row>
    <row r="48" spans="1:30" x14ac:dyDescent="0.25">
      <c r="C48"/>
      <c r="D48" s="35" t="str">
        <f t="shared" si="6"/>
        <v/>
      </c>
      <c r="F48" s="34" t="str">
        <f t="shared" si="7"/>
        <v/>
      </c>
      <c r="AC48" s="34" t="str">
        <f t="shared" si="8"/>
        <v/>
      </c>
      <c r="AD48" s="34" t="str">
        <f t="shared" si="8"/>
        <v/>
      </c>
    </row>
    <row r="49" spans="3:30" x14ac:dyDescent="0.25">
      <c r="C49"/>
      <c r="D49" s="35" t="str">
        <f t="shared" si="6"/>
        <v/>
      </c>
      <c r="F49" s="34" t="str">
        <f t="shared" si="7"/>
        <v/>
      </c>
      <c r="AC49" s="34" t="str">
        <f t="shared" si="8"/>
        <v/>
      </c>
      <c r="AD49" s="34" t="str">
        <f t="shared" si="8"/>
        <v/>
      </c>
    </row>
    <row r="50" spans="3:30" x14ac:dyDescent="0.25">
      <c r="C50"/>
      <c r="D50" s="35" t="str">
        <f t="shared" si="6"/>
        <v/>
      </c>
      <c r="F50" s="34" t="str">
        <f t="shared" si="7"/>
        <v/>
      </c>
      <c r="AC50" s="34" t="str">
        <f t="shared" si="8"/>
        <v/>
      </c>
      <c r="AD50" s="34" t="str">
        <f t="shared" si="8"/>
        <v/>
      </c>
    </row>
    <row r="51" spans="3:30" x14ac:dyDescent="0.25">
      <c r="C51"/>
      <c r="D51" s="35" t="str">
        <f t="shared" si="6"/>
        <v/>
      </c>
      <c r="F51" s="34" t="str">
        <f t="shared" si="7"/>
        <v/>
      </c>
      <c r="AC51" s="34" t="str">
        <f t="shared" si="8"/>
        <v/>
      </c>
      <c r="AD51" s="34" t="str">
        <f t="shared" si="8"/>
        <v/>
      </c>
    </row>
    <row r="52" spans="3:30" x14ac:dyDescent="0.25">
      <c r="C52"/>
      <c r="D52" s="35" t="str">
        <f t="shared" si="6"/>
        <v/>
      </c>
      <c r="F52" s="34" t="str">
        <f t="shared" si="7"/>
        <v/>
      </c>
      <c r="AC52" s="34" t="str">
        <f t="shared" si="8"/>
        <v/>
      </c>
      <c r="AD52" s="34" t="str">
        <f t="shared" si="8"/>
        <v/>
      </c>
    </row>
    <row r="53" spans="3:30" x14ac:dyDescent="0.25">
      <c r="C53"/>
      <c r="D53" s="35" t="str">
        <f t="shared" si="6"/>
        <v/>
      </c>
      <c r="F53" s="34" t="str">
        <f t="shared" si="7"/>
        <v/>
      </c>
      <c r="AC53" s="34" t="str">
        <f t="shared" si="8"/>
        <v/>
      </c>
      <c r="AD53" s="34" t="str">
        <f t="shared" si="8"/>
        <v/>
      </c>
    </row>
    <row r="54" spans="3:30" x14ac:dyDescent="0.25">
      <c r="C54"/>
      <c r="D54" s="35" t="str">
        <f t="shared" si="6"/>
        <v/>
      </c>
      <c r="F54" s="34" t="str">
        <f t="shared" si="7"/>
        <v/>
      </c>
      <c r="AC54" s="34" t="str">
        <f t="shared" si="8"/>
        <v/>
      </c>
      <c r="AD54" s="34" t="str">
        <f t="shared" si="8"/>
        <v/>
      </c>
    </row>
    <row r="55" spans="3:30" x14ac:dyDescent="0.25">
      <c r="C55"/>
      <c r="D55" s="35" t="str">
        <f t="shared" si="6"/>
        <v/>
      </c>
      <c r="F55" s="34" t="str">
        <f t="shared" si="7"/>
        <v/>
      </c>
      <c r="G55" s="34" t="str">
        <f t="shared" si="7"/>
        <v/>
      </c>
      <c r="H55" s="34" t="str">
        <f t="shared" si="7"/>
        <v/>
      </c>
      <c r="I55" s="34" t="str">
        <f t="shared" si="7"/>
        <v/>
      </c>
      <c r="J55" s="34" t="str">
        <f t="shared" si="7"/>
        <v/>
      </c>
      <c r="K55" s="34" t="str">
        <f t="shared" si="7"/>
        <v/>
      </c>
      <c r="L55" s="34" t="str">
        <f t="shared" si="7"/>
        <v/>
      </c>
      <c r="M55" s="34" t="str">
        <f t="shared" si="7"/>
        <v/>
      </c>
      <c r="N55" s="34" t="str">
        <f t="shared" si="7"/>
        <v/>
      </c>
      <c r="O55" s="34" t="str">
        <f t="shared" si="7"/>
        <v/>
      </c>
      <c r="P55" s="34" t="str">
        <f t="shared" si="7"/>
        <v/>
      </c>
      <c r="Q55" s="34" t="str">
        <f t="shared" si="7"/>
        <v/>
      </c>
      <c r="R55" s="34" t="str">
        <f t="shared" si="7"/>
        <v/>
      </c>
      <c r="S55" s="34" t="str">
        <f t="shared" si="7"/>
        <v/>
      </c>
      <c r="T55" s="34" t="str">
        <f t="shared" si="7"/>
        <v/>
      </c>
      <c r="U55" s="34" t="str">
        <f t="shared" si="7"/>
        <v/>
      </c>
      <c r="V55" s="34" t="str">
        <f t="shared" ref="V55:AB56" si="9">IF(OR(V$14="",$E55=""),"",U55)</f>
        <v/>
      </c>
      <c r="W55" s="34" t="str">
        <f t="shared" si="9"/>
        <v/>
      </c>
      <c r="X55" s="34" t="str">
        <f t="shared" si="9"/>
        <v/>
      </c>
      <c r="Y55" s="34" t="str">
        <f t="shared" si="9"/>
        <v/>
      </c>
      <c r="Z55" s="34" t="str">
        <f t="shared" si="9"/>
        <v/>
      </c>
      <c r="AA55" s="34" t="str">
        <f t="shared" si="9"/>
        <v/>
      </c>
      <c r="AB55" s="34" t="str">
        <f t="shared" si="9"/>
        <v/>
      </c>
      <c r="AC55" s="34" t="str">
        <f t="shared" si="8"/>
        <v/>
      </c>
      <c r="AD55" s="34" t="str">
        <f t="shared" si="8"/>
        <v/>
      </c>
    </row>
    <row r="56" spans="3:30" x14ac:dyDescent="0.25">
      <c r="C56"/>
      <c r="D56" s="35" t="str">
        <f t="shared" si="6"/>
        <v/>
      </c>
      <c r="F56" s="34" t="str">
        <f t="shared" si="7"/>
        <v/>
      </c>
      <c r="G56" s="34" t="str">
        <f t="shared" si="7"/>
        <v/>
      </c>
      <c r="H56" s="34" t="str">
        <f t="shared" si="7"/>
        <v/>
      </c>
      <c r="I56" s="34" t="str">
        <f t="shared" si="7"/>
        <v/>
      </c>
      <c r="J56" s="34" t="str">
        <f t="shared" si="7"/>
        <v/>
      </c>
      <c r="K56" s="34" t="str">
        <f t="shared" si="7"/>
        <v/>
      </c>
      <c r="L56" s="34" t="str">
        <f t="shared" si="7"/>
        <v/>
      </c>
      <c r="M56" s="34" t="str">
        <f t="shared" si="7"/>
        <v/>
      </c>
      <c r="N56" s="34" t="str">
        <f t="shared" si="7"/>
        <v/>
      </c>
      <c r="O56" s="34" t="str">
        <f t="shared" si="7"/>
        <v/>
      </c>
      <c r="P56" s="34" t="str">
        <f t="shared" si="7"/>
        <v/>
      </c>
      <c r="Q56" s="34" t="str">
        <f t="shared" si="7"/>
        <v/>
      </c>
      <c r="R56" s="34" t="str">
        <f t="shared" si="7"/>
        <v/>
      </c>
      <c r="S56" s="34" t="str">
        <f t="shared" si="7"/>
        <v/>
      </c>
      <c r="T56" s="34" t="str">
        <f t="shared" si="7"/>
        <v/>
      </c>
      <c r="U56" s="34" t="str">
        <f t="shared" si="7"/>
        <v/>
      </c>
      <c r="V56" s="34" t="str">
        <f t="shared" si="9"/>
        <v/>
      </c>
      <c r="W56" s="34" t="str">
        <f t="shared" si="9"/>
        <v/>
      </c>
      <c r="X56" s="34" t="str">
        <f t="shared" si="9"/>
        <v/>
      </c>
      <c r="Y56" s="34" t="str">
        <f t="shared" si="9"/>
        <v/>
      </c>
      <c r="Z56" s="34" t="str">
        <f t="shared" si="9"/>
        <v/>
      </c>
      <c r="AA56" s="34" t="str">
        <f t="shared" si="9"/>
        <v/>
      </c>
      <c r="AB56" s="34" t="str">
        <f t="shared" si="9"/>
        <v/>
      </c>
      <c r="AC56" s="34" t="str">
        <f t="shared" si="8"/>
        <v/>
      </c>
      <c r="AD56" s="34" t="str">
        <f t="shared" si="8"/>
        <v/>
      </c>
    </row>
    <row r="57" spans="3:30" x14ac:dyDescent="0.25">
      <c r="C57"/>
      <c r="D57" s="35" t="str">
        <f t="shared" si="6"/>
        <v/>
      </c>
    </row>
    <row r="58" spans="3:30" x14ac:dyDescent="0.25">
      <c r="C58"/>
    </row>
    <row r="59" spans="3:30" x14ac:dyDescent="0.25">
      <c r="C59"/>
    </row>
    <row r="60" spans="3:30" x14ac:dyDescent="0.25">
      <c r="C60"/>
    </row>
    <row r="61" spans="3:30" x14ac:dyDescent="0.25">
      <c r="C61"/>
    </row>
    <row r="62" spans="3:30" x14ac:dyDescent="0.25">
      <c r="C62"/>
    </row>
    <row r="63" spans="3:30" x14ac:dyDescent="0.25">
      <c r="C63"/>
    </row>
    <row r="64" spans="3:30" x14ac:dyDescent="0.25">
      <c r="C64"/>
    </row>
    <row r="65" spans="3:3" x14ac:dyDescent="0.25">
      <c r="C65"/>
    </row>
    <row r="66" spans="3:3" x14ac:dyDescent="0.25">
      <c r="C66"/>
    </row>
    <row r="67" spans="3:3" x14ac:dyDescent="0.25">
      <c r="C67"/>
    </row>
    <row r="68" spans="3:3" x14ac:dyDescent="0.25">
      <c r="C68"/>
    </row>
    <row r="69" spans="3:3" x14ac:dyDescent="0.25">
      <c r="C69"/>
    </row>
    <row r="70" spans="3:3" x14ac:dyDescent="0.25">
      <c r="C70"/>
    </row>
    <row r="71" spans="3:3" x14ac:dyDescent="0.25">
      <c r="C71"/>
    </row>
    <row r="72" spans="3:3" x14ac:dyDescent="0.25">
      <c r="C72"/>
    </row>
    <row r="73" spans="3:3" x14ac:dyDescent="0.25">
      <c r="C73"/>
    </row>
    <row r="74" spans="3:3" x14ac:dyDescent="0.25">
      <c r="C74"/>
    </row>
    <row r="75" spans="3:3" x14ac:dyDescent="0.25">
      <c r="C75"/>
    </row>
    <row r="76" spans="3:3" x14ac:dyDescent="0.25">
      <c r="C76"/>
    </row>
    <row r="77" spans="3:3" x14ac:dyDescent="0.25">
      <c r="C77"/>
    </row>
    <row r="78" spans="3:3" x14ac:dyDescent="0.25">
      <c r="C78"/>
    </row>
    <row r="79" spans="3:3" x14ac:dyDescent="0.25">
      <c r="C79"/>
    </row>
    <row r="80" spans="3:3" x14ac:dyDescent="0.25">
      <c r="C80"/>
    </row>
  </sheetData>
  <conditionalFormatting sqref="A15:AD51">
    <cfRule type="expression" dxfId="5" priority="1" stopIfTrue="1">
      <formula>$D15="Done"</formula>
    </cfRule>
    <cfRule type="expression" dxfId="4" priority="2" stopIfTrue="1">
      <formula>$D15="Ongoing"</formula>
    </cfRule>
  </conditionalFormatting>
  <dataValidations count="1">
    <dataValidation type="list" allowBlank="1" showInputMessage="1" sqref="D3:D8 D15:D57" xr:uid="{662F4B46-066F-43E9-A510-23838E5A87F6}">
      <formula1>"Planned,Ongoing,Done"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SortSprintTasks">
                <anchor moveWithCells="1" sizeWithCells="1">
                  <from>
                    <xdr:col>0</xdr:col>
                    <xdr:colOff>241300</xdr:colOff>
                    <xdr:row>5</xdr:row>
                    <xdr:rowOff>82550</xdr:rowOff>
                  </from>
                  <to>
                    <xdr:col>0</xdr:col>
                    <xdr:colOff>2101850</xdr:colOff>
                    <xdr:row>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UpdateTaskSlips">
                <anchor moveWithCells="1" sizeWithCells="1">
                  <from>
                    <xdr:col>0</xdr:col>
                    <xdr:colOff>2362200</xdr:colOff>
                    <xdr:row>5</xdr:row>
                    <xdr:rowOff>82550</xdr:rowOff>
                  </from>
                  <to>
                    <xdr:col>2</xdr:col>
                    <xdr:colOff>311150</xdr:colOff>
                    <xdr:row>7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D64"/>
  <sheetViews>
    <sheetView workbookViewId="0">
      <pane ySplit="14" topLeftCell="A15" activePane="bottomLeft" state="frozen"/>
      <selection pane="bottomLeft" activeCell="B14" sqref="B14"/>
    </sheetView>
  </sheetViews>
  <sheetFormatPr baseColWidth="10" defaultColWidth="8.81640625" defaultRowHeight="12.5" x14ac:dyDescent="0.25"/>
  <cols>
    <col min="1" max="1" width="38.453125" customWidth="1"/>
    <col min="2" max="2" width="8.453125" style="2" customWidth="1"/>
    <col min="3" max="3" width="13.6328125" customWidth="1"/>
    <col min="4" max="4" width="10.81640625" customWidth="1"/>
    <col min="5" max="5" width="6.453125" style="2" customWidth="1"/>
    <col min="6" max="30" width="4.453125" style="2" customWidth="1"/>
  </cols>
  <sheetData>
    <row r="1" spans="1:30" ht="17.5" x14ac:dyDescent="0.35">
      <c r="A1" s="31">
        <v>1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5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ht="13" x14ac:dyDescent="0.3">
      <c r="A9" s="18" t="s">
        <v>12</v>
      </c>
      <c r="B9" s="36">
        <v>5</v>
      </c>
      <c r="C9" s="18"/>
      <c r="D9" s="16"/>
      <c r="E9" s="20" t="s">
        <v>9</v>
      </c>
      <c r="F9" s="20" t="s">
        <v>11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ht="13" x14ac:dyDescent="0.3">
      <c r="A10" s="18" t="s">
        <v>29</v>
      </c>
      <c r="B10" s="36">
        <v>5</v>
      </c>
      <c r="C10" s="18" t="s">
        <v>30</v>
      </c>
      <c r="D10" s="18" t="s">
        <v>17</v>
      </c>
      <c r="E10" s="17">
        <f ca="1">SUM(OFFSET(E14,1,0,TaskRows,1))</f>
        <v>0</v>
      </c>
      <c r="F10" s="17">
        <f ca="1">IF(AND(SUM(OFFSET(F14,1,0,TaskRows,1))=0),0,SUM(OFFSET(F14,1,0,TaskRows,1)))</f>
        <v>0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5">
      <c r="A11" t="s">
        <v>22</v>
      </c>
      <c r="B11" s="2">
        <f>IF(COUNTA(A15:A242)=0,1,COUNTA(A15:A242))</f>
        <v>1</v>
      </c>
      <c r="C11" t="s">
        <v>23</v>
      </c>
      <c r="D11" s="2">
        <f ca="1">IF(COUNTIF(F10:AD10,"&gt;0")=0,1,COUNTIF(F10:AD10,"&gt;0"))</f>
        <v>1</v>
      </c>
      <c r="F11" s="2">
        <f ca="1">IF(F14="","",$E10-$E10/($B9-1)*(F14-1))</f>
        <v>0</v>
      </c>
      <c r="G11" s="2">
        <f t="shared" ref="G11:AD11" ca="1" si="1">IF(G14="","",TotalEffort-TotalEffort/(ImplementationDays)*(G14-1))</f>
        <v>0</v>
      </c>
      <c r="H11" s="2">
        <f t="shared" ca="1" si="1"/>
        <v>0</v>
      </c>
      <c r="I11" s="2">
        <f t="shared" ca="1" si="1"/>
        <v>0</v>
      </c>
      <c r="J11" s="2">
        <f t="shared" ca="1" si="1"/>
        <v>0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t="13" hidden="1" x14ac:dyDescent="0.3">
      <c r="A12" s="56" t="s">
        <v>26</v>
      </c>
      <c r="B12"/>
      <c r="C12" t="s">
        <v>24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0</v>
      </c>
      <c r="G12" s="2">
        <f t="shared" ca="1" si="2"/>
        <v>0</v>
      </c>
      <c r="H12" s="2">
        <f t="shared" ca="1" si="2"/>
        <v>0</v>
      </c>
      <c r="I12" s="2">
        <f t="shared" ca="1" si="2"/>
        <v>0</v>
      </c>
      <c r="J12" s="2">
        <f t="shared" ca="1" si="2"/>
        <v>0</v>
      </c>
      <c r="K12" s="2">
        <f t="shared" ca="1" si="2"/>
        <v>0</v>
      </c>
      <c r="L12" s="2">
        <f t="shared" ca="1" si="2"/>
        <v>0</v>
      </c>
      <c r="M12" s="2">
        <f t="shared" ca="1" si="2"/>
        <v>0</v>
      </c>
      <c r="N12" s="2">
        <f t="shared" ca="1" si="2"/>
        <v>0</v>
      </c>
      <c r="O12" s="2">
        <f t="shared" ca="1" si="2"/>
        <v>0</v>
      </c>
      <c r="P12" s="2">
        <f t="shared" ca="1" si="2"/>
        <v>0</v>
      </c>
      <c r="Q12" s="2">
        <f t="shared" ca="1" si="2"/>
        <v>0</v>
      </c>
      <c r="R12" s="2">
        <f t="shared" ca="1" si="2"/>
        <v>0</v>
      </c>
      <c r="S12" s="2">
        <f t="shared" ca="1" si="2"/>
        <v>0</v>
      </c>
      <c r="T12" s="2">
        <f t="shared" ca="1" si="2"/>
        <v>0</v>
      </c>
      <c r="U12" s="2">
        <f t="shared" ca="1" si="2"/>
        <v>0</v>
      </c>
      <c r="V12" s="2">
        <f t="shared" ca="1" si="2"/>
        <v>0</v>
      </c>
      <c r="W12" s="2">
        <f t="shared" ca="1" si="2"/>
        <v>0</v>
      </c>
      <c r="X12" s="2">
        <f t="shared" ca="1" si="2"/>
        <v>0</v>
      </c>
      <c r="Y12" s="2">
        <f t="shared" ca="1" si="2"/>
        <v>0</v>
      </c>
      <c r="Z12" s="2">
        <f t="shared" ca="1" si="2"/>
        <v>0</v>
      </c>
      <c r="AA12" s="2">
        <f t="shared" ca="1" si="2"/>
        <v>0</v>
      </c>
      <c r="AB12" s="2">
        <f t="shared" ca="1" si="2"/>
        <v>0</v>
      </c>
      <c r="AC12" s="2">
        <f t="shared" ca="1" si="2"/>
        <v>0</v>
      </c>
      <c r="AD12" s="2">
        <f t="shared" ca="1" si="2"/>
        <v>0</v>
      </c>
    </row>
    <row r="13" spans="1:30" ht="13" hidden="1" x14ac:dyDescent="0.3">
      <c r="A13" s="56" t="s">
        <v>27</v>
      </c>
      <c r="B13"/>
      <c r="C13" t="s">
        <v>25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ht="13" x14ac:dyDescent="0.3">
      <c r="A14" s="18" t="s">
        <v>7</v>
      </c>
      <c r="B14" s="19" t="s">
        <v>21</v>
      </c>
      <c r="C14" s="18" t="s">
        <v>8</v>
      </c>
      <c r="D14" s="18" t="s">
        <v>3</v>
      </c>
      <c r="E14" s="19" t="s">
        <v>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5">
      <c r="D15" t="str">
        <f t="shared" ref="D15:D59" si="4">IF(A15&lt;&gt;"","Planned","")</f>
        <v/>
      </c>
      <c r="F15" s="2" t="str">
        <f t="shared" ref="F15:F59" si="5">IF(OR(F$14="",$E15=""),"",E15)</f>
        <v/>
      </c>
    </row>
    <row r="16" spans="1:30" x14ac:dyDescent="0.25">
      <c r="D16" t="str">
        <f t="shared" si="4"/>
        <v/>
      </c>
      <c r="F16" s="2" t="str">
        <f t="shared" si="5"/>
        <v/>
      </c>
      <c r="AC16" s="2" t="str">
        <f t="shared" ref="AC16:AD35" si="6">IF(OR(AC$14="",$E16=""),"",AB16)</f>
        <v/>
      </c>
      <c r="AD16" s="2" t="str">
        <f t="shared" si="6"/>
        <v/>
      </c>
    </row>
    <row r="17" spans="4:30" x14ac:dyDescent="0.25">
      <c r="D17" t="str">
        <f t="shared" si="4"/>
        <v/>
      </c>
      <c r="F17" s="2" t="str">
        <f t="shared" si="5"/>
        <v/>
      </c>
      <c r="AC17" s="2" t="str">
        <f t="shared" si="6"/>
        <v/>
      </c>
      <c r="AD17" s="2" t="str">
        <f t="shared" si="6"/>
        <v/>
      </c>
    </row>
    <row r="18" spans="4:30" x14ac:dyDescent="0.25">
      <c r="D18" t="str">
        <f t="shared" si="4"/>
        <v/>
      </c>
      <c r="F18" s="2" t="str">
        <f t="shared" si="5"/>
        <v/>
      </c>
      <c r="AC18" s="2" t="str">
        <f t="shared" si="6"/>
        <v/>
      </c>
      <c r="AD18" s="2" t="str">
        <f t="shared" si="6"/>
        <v/>
      </c>
    </row>
    <row r="19" spans="4:30" x14ac:dyDescent="0.25">
      <c r="D19" t="str">
        <f t="shared" si="4"/>
        <v/>
      </c>
      <c r="F19" s="2" t="str">
        <f t="shared" si="5"/>
        <v/>
      </c>
      <c r="AC19" s="2" t="str">
        <f t="shared" si="6"/>
        <v/>
      </c>
      <c r="AD19" s="2" t="str">
        <f t="shared" si="6"/>
        <v/>
      </c>
    </row>
    <row r="20" spans="4:30" x14ac:dyDescent="0.25">
      <c r="D20" t="str">
        <f t="shared" si="4"/>
        <v/>
      </c>
      <c r="F20" s="2" t="str">
        <f t="shared" si="5"/>
        <v/>
      </c>
      <c r="AC20" s="2" t="str">
        <f t="shared" si="6"/>
        <v/>
      </c>
      <c r="AD20" s="2" t="str">
        <f t="shared" si="6"/>
        <v/>
      </c>
    </row>
    <row r="21" spans="4:30" x14ac:dyDescent="0.25">
      <c r="D21" t="str">
        <f t="shared" si="4"/>
        <v/>
      </c>
      <c r="F21" s="2" t="str">
        <f t="shared" si="5"/>
        <v/>
      </c>
      <c r="AC21" s="2" t="str">
        <f t="shared" si="6"/>
        <v/>
      </c>
      <c r="AD21" s="2" t="str">
        <f t="shared" si="6"/>
        <v/>
      </c>
    </row>
    <row r="22" spans="4:30" x14ac:dyDescent="0.25">
      <c r="D22" t="str">
        <f t="shared" si="4"/>
        <v/>
      </c>
      <c r="F22" s="2" t="str">
        <f t="shared" si="5"/>
        <v/>
      </c>
      <c r="AC22" s="2" t="str">
        <f t="shared" si="6"/>
        <v/>
      </c>
      <c r="AD22" s="2" t="str">
        <f t="shared" si="6"/>
        <v/>
      </c>
    </row>
    <row r="23" spans="4:30" x14ac:dyDescent="0.25">
      <c r="D23" t="str">
        <f t="shared" si="4"/>
        <v/>
      </c>
      <c r="F23" s="2" t="str">
        <f t="shared" si="5"/>
        <v/>
      </c>
      <c r="AC23" s="2" t="str">
        <f t="shared" si="6"/>
        <v/>
      </c>
      <c r="AD23" s="2" t="str">
        <f t="shared" si="6"/>
        <v/>
      </c>
    </row>
    <row r="24" spans="4:30" x14ac:dyDescent="0.25">
      <c r="D24" t="str">
        <f t="shared" si="4"/>
        <v/>
      </c>
      <c r="F24" s="2" t="str">
        <f t="shared" si="5"/>
        <v/>
      </c>
      <c r="AC24" s="2" t="str">
        <f t="shared" si="6"/>
        <v/>
      </c>
      <c r="AD24" s="2" t="str">
        <f t="shared" si="6"/>
        <v/>
      </c>
    </row>
    <row r="25" spans="4:30" x14ac:dyDescent="0.25">
      <c r="D25" t="str">
        <f t="shared" si="4"/>
        <v/>
      </c>
      <c r="F25" s="2" t="str">
        <f t="shared" si="5"/>
        <v/>
      </c>
      <c r="AC25" s="2" t="str">
        <f t="shared" si="6"/>
        <v/>
      </c>
      <c r="AD25" s="2" t="str">
        <f t="shared" si="6"/>
        <v/>
      </c>
    </row>
    <row r="26" spans="4:30" x14ac:dyDescent="0.25">
      <c r="D26" t="str">
        <f t="shared" si="4"/>
        <v/>
      </c>
      <c r="F26" s="2" t="str">
        <f t="shared" si="5"/>
        <v/>
      </c>
      <c r="AC26" s="2" t="str">
        <f t="shared" si="6"/>
        <v/>
      </c>
      <c r="AD26" s="2" t="str">
        <f t="shared" si="6"/>
        <v/>
      </c>
    </row>
    <row r="27" spans="4:30" x14ac:dyDescent="0.25">
      <c r="D27" t="str">
        <f t="shared" si="4"/>
        <v/>
      </c>
      <c r="F27" s="2" t="str">
        <f t="shared" si="5"/>
        <v/>
      </c>
      <c r="AC27" s="2" t="str">
        <f t="shared" si="6"/>
        <v/>
      </c>
      <c r="AD27" s="2" t="str">
        <f t="shared" si="6"/>
        <v/>
      </c>
    </row>
    <row r="28" spans="4:30" x14ac:dyDescent="0.25">
      <c r="D28" t="str">
        <f t="shared" si="4"/>
        <v/>
      </c>
      <c r="F28" s="2" t="str">
        <f t="shared" si="5"/>
        <v/>
      </c>
      <c r="AC28" s="2" t="str">
        <f t="shared" si="6"/>
        <v/>
      </c>
      <c r="AD28" s="2" t="str">
        <f t="shared" si="6"/>
        <v/>
      </c>
    </row>
    <row r="29" spans="4:30" x14ac:dyDescent="0.25">
      <c r="D29" t="str">
        <f t="shared" si="4"/>
        <v/>
      </c>
      <c r="F29" s="2" t="str">
        <f t="shared" si="5"/>
        <v/>
      </c>
      <c r="AC29" s="2" t="str">
        <f t="shared" si="6"/>
        <v/>
      </c>
      <c r="AD29" s="2" t="str">
        <f t="shared" si="6"/>
        <v/>
      </c>
    </row>
    <row r="30" spans="4:30" x14ac:dyDescent="0.25">
      <c r="D30" t="str">
        <f t="shared" si="4"/>
        <v/>
      </c>
      <c r="F30" s="2" t="str">
        <f t="shared" si="5"/>
        <v/>
      </c>
      <c r="AC30" s="2" t="str">
        <f t="shared" si="6"/>
        <v/>
      </c>
      <c r="AD30" s="2" t="str">
        <f t="shared" si="6"/>
        <v/>
      </c>
    </row>
    <row r="31" spans="4:30" x14ac:dyDescent="0.25">
      <c r="D31" t="str">
        <f t="shared" si="4"/>
        <v/>
      </c>
      <c r="F31" s="2" t="str">
        <f t="shared" si="5"/>
        <v/>
      </c>
      <c r="AC31" s="2" t="str">
        <f t="shared" si="6"/>
        <v/>
      </c>
      <c r="AD31" s="2" t="str">
        <f t="shared" si="6"/>
        <v/>
      </c>
    </row>
    <row r="32" spans="4:30" x14ac:dyDescent="0.25">
      <c r="D32" t="str">
        <f t="shared" si="4"/>
        <v/>
      </c>
      <c r="F32" s="2" t="str">
        <f t="shared" si="5"/>
        <v/>
      </c>
      <c r="AC32" s="2" t="str">
        <f t="shared" si="6"/>
        <v/>
      </c>
      <c r="AD32" s="2" t="str">
        <f t="shared" si="6"/>
        <v/>
      </c>
    </row>
    <row r="33" spans="4:30" x14ac:dyDescent="0.25">
      <c r="D33" t="str">
        <f t="shared" si="4"/>
        <v/>
      </c>
      <c r="F33" s="2" t="str">
        <f t="shared" si="5"/>
        <v/>
      </c>
      <c r="AC33" s="2" t="str">
        <f t="shared" si="6"/>
        <v/>
      </c>
      <c r="AD33" s="2" t="str">
        <f t="shared" si="6"/>
        <v/>
      </c>
    </row>
    <row r="34" spans="4:30" x14ac:dyDescent="0.25">
      <c r="D34" t="str">
        <f t="shared" si="4"/>
        <v/>
      </c>
      <c r="F34" s="2" t="str">
        <f t="shared" si="5"/>
        <v/>
      </c>
      <c r="AC34" s="2" t="str">
        <f t="shared" si="6"/>
        <v/>
      </c>
      <c r="AD34" s="2" t="str">
        <f t="shared" si="6"/>
        <v/>
      </c>
    </row>
    <row r="35" spans="4:30" x14ac:dyDescent="0.25">
      <c r="D35" t="str">
        <f t="shared" si="4"/>
        <v/>
      </c>
      <c r="F35" s="2" t="str">
        <f t="shared" si="5"/>
        <v/>
      </c>
      <c r="AC35" s="2" t="str">
        <f t="shared" si="6"/>
        <v/>
      </c>
      <c r="AD35" s="2" t="str">
        <f t="shared" si="6"/>
        <v/>
      </c>
    </row>
    <row r="36" spans="4:30" x14ac:dyDescent="0.25">
      <c r="D36" t="str">
        <f t="shared" si="4"/>
        <v/>
      </c>
      <c r="F36" s="2" t="str">
        <f t="shared" si="5"/>
        <v/>
      </c>
      <c r="AC36" s="2" t="str">
        <f t="shared" ref="AC36:AD55" si="7">IF(OR(AC$14="",$E36=""),"",AB36)</f>
        <v/>
      </c>
      <c r="AD36" s="2" t="str">
        <f t="shared" si="7"/>
        <v/>
      </c>
    </row>
    <row r="37" spans="4:30" x14ac:dyDescent="0.25">
      <c r="D37" t="str">
        <f t="shared" si="4"/>
        <v/>
      </c>
      <c r="F37" s="2" t="str">
        <f t="shared" si="5"/>
        <v/>
      </c>
      <c r="AC37" s="2" t="str">
        <f t="shared" si="7"/>
        <v/>
      </c>
      <c r="AD37" s="2" t="str">
        <f t="shared" si="7"/>
        <v/>
      </c>
    </row>
    <row r="38" spans="4:30" x14ac:dyDescent="0.25">
      <c r="D38" t="str">
        <f t="shared" si="4"/>
        <v/>
      </c>
      <c r="F38" s="2" t="str">
        <f t="shared" si="5"/>
        <v/>
      </c>
      <c r="AC38" s="2" t="str">
        <f t="shared" si="7"/>
        <v/>
      </c>
      <c r="AD38" s="2" t="str">
        <f t="shared" si="7"/>
        <v/>
      </c>
    </row>
    <row r="39" spans="4:30" x14ac:dyDescent="0.25">
      <c r="D39" t="str">
        <f t="shared" si="4"/>
        <v/>
      </c>
      <c r="F39" s="2" t="str">
        <f t="shared" si="5"/>
        <v/>
      </c>
      <c r="AC39" s="2" t="str">
        <f t="shared" si="7"/>
        <v/>
      </c>
      <c r="AD39" s="2" t="str">
        <f t="shared" si="7"/>
        <v/>
      </c>
    </row>
    <row r="40" spans="4:30" x14ac:dyDescent="0.25">
      <c r="D40" t="str">
        <f t="shared" si="4"/>
        <v/>
      </c>
      <c r="F40" s="2" t="str">
        <f t="shared" si="5"/>
        <v/>
      </c>
      <c r="AC40" s="2" t="str">
        <f t="shared" si="7"/>
        <v/>
      </c>
      <c r="AD40" s="2" t="str">
        <f t="shared" si="7"/>
        <v/>
      </c>
    </row>
    <row r="41" spans="4:30" x14ac:dyDescent="0.25">
      <c r="D41" t="str">
        <f t="shared" si="4"/>
        <v/>
      </c>
      <c r="F41" s="2" t="str">
        <f t="shared" si="5"/>
        <v/>
      </c>
      <c r="AC41" s="2" t="str">
        <f t="shared" si="7"/>
        <v/>
      </c>
      <c r="AD41" s="2" t="str">
        <f t="shared" si="7"/>
        <v/>
      </c>
    </row>
    <row r="42" spans="4:30" x14ac:dyDescent="0.25">
      <c r="D42" t="str">
        <f t="shared" si="4"/>
        <v/>
      </c>
      <c r="F42" s="2" t="str">
        <f t="shared" si="5"/>
        <v/>
      </c>
      <c r="AC42" s="2" t="str">
        <f t="shared" si="7"/>
        <v/>
      </c>
      <c r="AD42" s="2" t="str">
        <f t="shared" si="7"/>
        <v/>
      </c>
    </row>
    <row r="43" spans="4:30" x14ac:dyDescent="0.25">
      <c r="D43" t="str">
        <f t="shared" si="4"/>
        <v/>
      </c>
      <c r="F43" s="2" t="str">
        <f t="shared" si="5"/>
        <v/>
      </c>
      <c r="AC43" s="2" t="str">
        <f t="shared" si="7"/>
        <v/>
      </c>
      <c r="AD43" s="2" t="str">
        <f t="shared" si="7"/>
        <v/>
      </c>
    </row>
    <row r="44" spans="4:30" x14ac:dyDescent="0.25">
      <c r="D44" t="str">
        <f t="shared" si="4"/>
        <v/>
      </c>
      <c r="F44" s="2" t="str">
        <f t="shared" si="5"/>
        <v/>
      </c>
      <c r="AC44" s="2" t="str">
        <f t="shared" si="7"/>
        <v/>
      </c>
      <c r="AD44" s="2" t="str">
        <f t="shared" si="7"/>
        <v/>
      </c>
    </row>
    <row r="45" spans="4:30" x14ac:dyDescent="0.25">
      <c r="D45" t="str">
        <f t="shared" si="4"/>
        <v/>
      </c>
      <c r="F45" s="2" t="str">
        <f t="shared" si="5"/>
        <v/>
      </c>
      <c r="AC45" s="2" t="str">
        <f t="shared" si="7"/>
        <v/>
      </c>
      <c r="AD45" s="2" t="str">
        <f t="shared" si="7"/>
        <v/>
      </c>
    </row>
    <row r="46" spans="4:30" x14ac:dyDescent="0.25">
      <c r="D46" t="str">
        <f t="shared" si="4"/>
        <v/>
      </c>
      <c r="F46" s="2" t="str">
        <f t="shared" si="5"/>
        <v/>
      </c>
      <c r="AC46" s="2" t="str">
        <f t="shared" si="7"/>
        <v/>
      </c>
      <c r="AD46" s="2" t="str">
        <f t="shared" si="7"/>
        <v/>
      </c>
    </row>
    <row r="47" spans="4:30" x14ac:dyDescent="0.25">
      <c r="D47" t="str">
        <f t="shared" si="4"/>
        <v/>
      </c>
      <c r="F47" s="2" t="str">
        <f t="shared" si="5"/>
        <v/>
      </c>
      <c r="AC47" s="2" t="str">
        <f t="shared" si="7"/>
        <v/>
      </c>
      <c r="AD47" s="2" t="str">
        <f t="shared" si="7"/>
        <v/>
      </c>
    </row>
    <row r="48" spans="4:30" x14ac:dyDescent="0.25">
      <c r="D48" t="str">
        <f t="shared" si="4"/>
        <v/>
      </c>
      <c r="F48" s="2" t="str">
        <f t="shared" si="5"/>
        <v/>
      </c>
      <c r="AC48" s="2" t="str">
        <f t="shared" si="7"/>
        <v/>
      </c>
      <c r="AD48" s="2" t="str">
        <f t="shared" si="7"/>
        <v/>
      </c>
    </row>
    <row r="49" spans="4:30" x14ac:dyDescent="0.25">
      <c r="D49" t="str">
        <f t="shared" si="4"/>
        <v/>
      </c>
      <c r="F49" s="2" t="str">
        <f t="shared" si="5"/>
        <v/>
      </c>
      <c r="AC49" s="2" t="str">
        <f t="shared" si="7"/>
        <v/>
      </c>
      <c r="AD49" s="2" t="str">
        <f t="shared" si="7"/>
        <v/>
      </c>
    </row>
    <row r="50" spans="4:30" x14ac:dyDescent="0.25">
      <c r="D50" t="str">
        <f t="shared" si="4"/>
        <v/>
      </c>
      <c r="F50" s="2" t="str">
        <f t="shared" si="5"/>
        <v/>
      </c>
      <c r="AC50" s="2" t="str">
        <f t="shared" si="7"/>
        <v/>
      </c>
      <c r="AD50" s="2" t="str">
        <f t="shared" si="7"/>
        <v/>
      </c>
    </row>
    <row r="51" spans="4:30" x14ac:dyDescent="0.25">
      <c r="D51" t="str">
        <f t="shared" si="4"/>
        <v/>
      </c>
      <c r="F51" s="2" t="str">
        <f t="shared" si="5"/>
        <v/>
      </c>
      <c r="AC51" s="2" t="str">
        <f t="shared" si="7"/>
        <v/>
      </c>
      <c r="AD51" s="2" t="str">
        <f t="shared" si="7"/>
        <v/>
      </c>
    </row>
    <row r="52" spans="4:30" x14ac:dyDescent="0.25">
      <c r="D52" t="str">
        <f t="shared" si="4"/>
        <v/>
      </c>
      <c r="F52" s="2" t="str">
        <f t="shared" si="5"/>
        <v/>
      </c>
      <c r="AC52" s="2" t="str">
        <f t="shared" si="7"/>
        <v/>
      </c>
      <c r="AD52" s="2" t="str">
        <f t="shared" si="7"/>
        <v/>
      </c>
    </row>
    <row r="53" spans="4:30" x14ac:dyDescent="0.25">
      <c r="D53" t="str">
        <f t="shared" si="4"/>
        <v/>
      </c>
      <c r="F53" s="2" t="str">
        <f t="shared" si="5"/>
        <v/>
      </c>
      <c r="AC53" s="2" t="str">
        <f t="shared" si="7"/>
        <v/>
      </c>
      <c r="AD53" s="2" t="str">
        <f t="shared" si="7"/>
        <v/>
      </c>
    </row>
    <row r="54" spans="4:30" x14ac:dyDescent="0.25">
      <c r="D54" t="str">
        <f t="shared" si="4"/>
        <v/>
      </c>
      <c r="F54" s="2" t="str">
        <f t="shared" si="5"/>
        <v/>
      </c>
      <c r="AC54" s="2" t="str">
        <f t="shared" si="7"/>
        <v/>
      </c>
      <c r="AD54" s="2" t="str">
        <f t="shared" si="7"/>
        <v/>
      </c>
    </row>
    <row r="55" spans="4:30" x14ac:dyDescent="0.25">
      <c r="D55" t="str">
        <f t="shared" si="4"/>
        <v/>
      </c>
      <c r="F55" s="2" t="str">
        <f t="shared" si="5"/>
        <v/>
      </c>
      <c r="AC55" s="2" t="str">
        <f t="shared" si="7"/>
        <v/>
      </c>
      <c r="AD55" s="2" t="str">
        <f t="shared" si="7"/>
        <v/>
      </c>
    </row>
    <row r="56" spans="4:30" x14ac:dyDescent="0.25">
      <c r="D56" t="str">
        <f t="shared" si="4"/>
        <v/>
      </c>
      <c r="F56" s="2" t="str">
        <f t="shared" si="5"/>
        <v/>
      </c>
      <c r="AC56" s="2" t="str">
        <f t="shared" ref="AC56:AD59" si="8">IF(OR(AC$14="",$E56=""),"",AB56)</f>
        <v/>
      </c>
      <c r="AD56" s="2" t="str">
        <f t="shared" si="8"/>
        <v/>
      </c>
    </row>
    <row r="57" spans="4:30" x14ac:dyDescent="0.25">
      <c r="D57" t="str">
        <f t="shared" si="4"/>
        <v/>
      </c>
      <c r="F57" s="2" t="str">
        <f t="shared" si="5"/>
        <v/>
      </c>
      <c r="AC57" s="2" t="str">
        <f t="shared" si="8"/>
        <v/>
      </c>
      <c r="AD57" s="2" t="str">
        <f t="shared" si="8"/>
        <v/>
      </c>
    </row>
    <row r="58" spans="4:30" x14ac:dyDescent="0.25">
      <c r="D58" t="str">
        <f t="shared" si="4"/>
        <v/>
      </c>
      <c r="F58" s="2" t="str">
        <f t="shared" si="5"/>
        <v/>
      </c>
      <c r="G58" s="2" t="str">
        <f t="shared" ref="G58:AB58" si="9">IF(OR(G$14="",$E58=""),"",F58)</f>
        <v/>
      </c>
      <c r="H58" s="2" t="str">
        <f t="shared" si="9"/>
        <v/>
      </c>
      <c r="I58" s="2" t="str">
        <f t="shared" si="9"/>
        <v/>
      </c>
      <c r="J58" s="2" t="str">
        <f t="shared" si="9"/>
        <v/>
      </c>
      <c r="K58" s="2" t="str">
        <f t="shared" si="9"/>
        <v/>
      </c>
      <c r="L58" s="2" t="str">
        <f t="shared" si="9"/>
        <v/>
      </c>
      <c r="M58" s="2" t="str">
        <f t="shared" si="9"/>
        <v/>
      </c>
      <c r="N58" s="2" t="str">
        <f t="shared" si="9"/>
        <v/>
      </c>
      <c r="O58" s="2" t="str">
        <f t="shared" si="9"/>
        <v/>
      </c>
      <c r="P58" s="2" t="str">
        <f t="shared" si="9"/>
        <v/>
      </c>
      <c r="Q58" s="2" t="str">
        <f t="shared" si="9"/>
        <v/>
      </c>
      <c r="R58" s="2" t="str">
        <f t="shared" si="9"/>
        <v/>
      </c>
      <c r="S58" s="2" t="str">
        <f t="shared" si="9"/>
        <v/>
      </c>
      <c r="T58" s="2" t="str">
        <f t="shared" si="9"/>
        <v/>
      </c>
      <c r="U58" s="2" t="str">
        <f t="shared" si="9"/>
        <v/>
      </c>
      <c r="V58" s="2" t="str">
        <f t="shared" si="9"/>
        <v/>
      </c>
      <c r="W58" s="2" t="str">
        <f t="shared" si="9"/>
        <v/>
      </c>
      <c r="X58" s="2" t="str">
        <f t="shared" si="9"/>
        <v/>
      </c>
      <c r="Y58" s="2" t="str">
        <f t="shared" si="9"/>
        <v/>
      </c>
      <c r="Z58" s="2" t="str">
        <f t="shared" si="9"/>
        <v/>
      </c>
      <c r="AA58" s="2" t="str">
        <f t="shared" si="9"/>
        <v/>
      </c>
      <c r="AB58" s="2" t="str">
        <f t="shared" si="9"/>
        <v/>
      </c>
      <c r="AC58" s="2" t="str">
        <f t="shared" si="8"/>
        <v/>
      </c>
      <c r="AD58" s="2" t="str">
        <f t="shared" si="8"/>
        <v/>
      </c>
    </row>
    <row r="59" spans="4:30" x14ac:dyDescent="0.25">
      <c r="D59" t="str">
        <f t="shared" si="4"/>
        <v/>
      </c>
      <c r="F59" s="2" t="str">
        <f t="shared" si="5"/>
        <v/>
      </c>
      <c r="G59" s="2" t="str">
        <f t="shared" ref="G59:AB59" si="10">IF(OR(G$14="",$E59=""),"",F59)</f>
        <v/>
      </c>
      <c r="H59" s="2" t="str">
        <f t="shared" si="10"/>
        <v/>
      </c>
      <c r="I59" s="2" t="str">
        <f t="shared" si="10"/>
        <v/>
      </c>
      <c r="J59" s="2" t="str">
        <f t="shared" si="10"/>
        <v/>
      </c>
      <c r="K59" s="2" t="str">
        <f t="shared" si="10"/>
        <v/>
      </c>
      <c r="L59" s="2" t="str">
        <f t="shared" si="10"/>
        <v/>
      </c>
      <c r="M59" s="2" t="str">
        <f t="shared" si="10"/>
        <v/>
      </c>
      <c r="N59" s="2" t="str">
        <f t="shared" si="10"/>
        <v/>
      </c>
      <c r="O59" s="2" t="str">
        <f t="shared" si="10"/>
        <v/>
      </c>
      <c r="P59" s="2" t="str">
        <f t="shared" si="10"/>
        <v/>
      </c>
      <c r="Q59" s="2" t="str">
        <f t="shared" si="10"/>
        <v/>
      </c>
      <c r="R59" s="2" t="str">
        <f t="shared" si="10"/>
        <v/>
      </c>
      <c r="S59" s="2" t="str">
        <f t="shared" si="10"/>
        <v/>
      </c>
      <c r="T59" s="2" t="str">
        <f t="shared" si="10"/>
        <v/>
      </c>
      <c r="U59" s="2" t="str">
        <f t="shared" si="10"/>
        <v/>
      </c>
      <c r="V59" s="2" t="str">
        <f t="shared" si="10"/>
        <v/>
      </c>
      <c r="W59" s="2" t="str">
        <f t="shared" si="10"/>
        <v/>
      </c>
      <c r="X59" s="2" t="str">
        <f t="shared" si="10"/>
        <v/>
      </c>
      <c r="Y59" s="2" t="str">
        <f t="shared" si="10"/>
        <v/>
      </c>
      <c r="Z59" s="2" t="str">
        <f t="shared" si="10"/>
        <v/>
      </c>
      <c r="AA59" s="2" t="str">
        <f t="shared" si="10"/>
        <v/>
      </c>
      <c r="AB59" s="2" t="str">
        <f t="shared" si="10"/>
        <v/>
      </c>
      <c r="AC59" s="2" t="str">
        <f t="shared" si="8"/>
        <v/>
      </c>
      <c r="AD59" s="2" t="str">
        <f t="shared" si="8"/>
        <v/>
      </c>
    </row>
    <row r="64" spans="4:30" x14ac:dyDescent="0.25">
      <c r="D64" t="str">
        <f>IF(A64&lt;&gt;"","Planned","")</f>
        <v/>
      </c>
    </row>
  </sheetData>
  <sortState ref="A15:AD63">
    <sortCondition ref="B14"/>
    <sortCondition ref="D14"/>
  </sortState>
  <phoneticPr fontId="2" type="noConversion"/>
  <conditionalFormatting sqref="A19:AD58 J15:AD18">
    <cfRule type="expression" dxfId="3" priority="1" stopIfTrue="1">
      <formula>$D15="Done"</formula>
    </cfRule>
    <cfRule type="expression" dxfId="2" priority="2" stopIfTrue="1">
      <formula>$D15="Ongoing"</formula>
    </cfRule>
  </conditionalFormatting>
  <conditionalFormatting sqref="A15:I18">
    <cfRule type="expression" dxfId="1" priority="3" stopIfTrue="1">
      <formula>$D15="Done"</formula>
    </cfRule>
    <cfRule type="expression" dxfId="0" priority="4" stopIfTrue="1">
      <formula>$D15="Ongoing"</formula>
    </cfRule>
  </conditionalFormatting>
  <dataValidations count="1">
    <dataValidation type="list" allowBlank="1" showInputMessage="1" sqref="D15:D64 D3:D8" xr:uid="{00000000-0002-0000-0400-000000000000}">
      <formula1>"Planned,Ongoing,Done"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9" r:id="rId3" name="Button 13">
              <controlPr defaultSize="0" print="0" autoFill="0" autoPict="0" macro="[0]!SortSprintTasks">
                <anchor moveWithCells="1" sizeWithCells="1">
                  <from>
                    <xdr:col>0</xdr:col>
                    <xdr:colOff>241300</xdr:colOff>
                    <xdr:row>5</xdr:row>
                    <xdr:rowOff>82550</xdr:rowOff>
                  </from>
                  <to>
                    <xdr:col>0</xdr:col>
                    <xdr:colOff>1803400</xdr:colOff>
                    <xdr:row>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4" name="Button 14">
              <controlPr defaultSize="0" print="0" autoFill="0" autoPict="0" macro="[0]!UpdateTaskSlips">
                <anchor moveWithCells="1" sizeWithCells="1">
                  <from>
                    <xdr:col>0</xdr:col>
                    <xdr:colOff>2095500</xdr:colOff>
                    <xdr:row>5</xdr:row>
                    <xdr:rowOff>82550</xdr:rowOff>
                  </from>
                  <to>
                    <xdr:col>2</xdr:col>
                    <xdr:colOff>234950</xdr:colOff>
                    <xdr:row>7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F30"/>
  <sheetViews>
    <sheetView zoomScale="70" zoomScaleNormal="70" workbookViewId="0"/>
  </sheetViews>
  <sheetFormatPr baseColWidth="10" defaultColWidth="9.1796875" defaultRowHeight="12.5" x14ac:dyDescent="0.25"/>
  <cols>
    <col min="1" max="1" width="9.1796875" style="35"/>
    <col min="2" max="2" width="9.08984375" style="35" customWidth="1"/>
    <col min="3" max="3" width="9.1796875" style="35"/>
    <col min="4" max="4" width="32.6328125" style="35" customWidth="1"/>
    <col min="5" max="5" width="9.1796875" style="35"/>
    <col min="6" max="6" width="32.6328125" style="35" customWidth="1"/>
    <col min="7" max="16384" width="9.1796875" style="35"/>
  </cols>
  <sheetData>
    <row r="1" spans="1:6" ht="13" x14ac:dyDescent="0.25">
      <c r="A1" s="84" t="s">
        <v>95</v>
      </c>
      <c r="B1" s="100" t="s">
        <v>100</v>
      </c>
      <c r="C1" s="85" t="s">
        <v>96</v>
      </c>
      <c r="D1" s="86" t="s">
        <v>108</v>
      </c>
      <c r="E1" s="86"/>
      <c r="F1" s="87"/>
    </row>
    <row r="2" spans="1:6" x14ac:dyDescent="0.25">
      <c r="A2" s="88" t="s">
        <v>97</v>
      </c>
      <c r="B2" s="81" t="s">
        <v>80</v>
      </c>
      <c r="C2" s="81"/>
      <c r="D2" s="81"/>
      <c r="E2" s="81"/>
      <c r="F2" s="89"/>
    </row>
    <row r="3" spans="1:6" x14ac:dyDescent="0.25">
      <c r="A3" s="90"/>
      <c r="B3" s="82"/>
      <c r="C3" s="82"/>
      <c r="D3" s="82"/>
      <c r="E3" s="82"/>
      <c r="F3" s="91"/>
    </row>
    <row r="4" spans="1:6" x14ac:dyDescent="0.25">
      <c r="A4" s="92"/>
      <c r="B4" s="83"/>
      <c r="C4" s="83"/>
      <c r="D4" s="83"/>
      <c r="E4" s="83"/>
      <c r="F4" s="93"/>
    </row>
    <row r="5" spans="1:6" x14ac:dyDescent="0.25">
      <c r="A5" s="98" t="str">
        <f>CONCATENATE("Responsible Person: ",'Sp1'!C15)</f>
        <v>Responsible Person: Marcelo A.</v>
      </c>
      <c r="B5" s="80"/>
      <c r="C5" s="80"/>
      <c r="D5" s="80"/>
      <c r="E5" s="80"/>
      <c r="F5" s="99"/>
    </row>
    <row r="6" spans="1:6" ht="25.5" thickBot="1" x14ac:dyDescent="0.3">
      <c r="A6" s="94" t="s">
        <v>94</v>
      </c>
      <c r="B6" s="101">
        <v>5</v>
      </c>
      <c r="C6" s="96" t="s">
        <v>99</v>
      </c>
      <c r="D6" s="95"/>
      <c r="E6" s="96" t="s">
        <v>98</v>
      </c>
      <c r="F6" s="97"/>
    </row>
    <row r="8" spans="1:6" ht="13" thickBot="1" x14ac:dyDescent="0.3"/>
    <row r="9" spans="1:6" ht="13" x14ac:dyDescent="0.25">
      <c r="A9" s="84" t="s">
        <v>95</v>
      </c>
      <c r="B9" s="100" t="s">
        <v>100</v>
      </c>
      <c r="C9" s="85" t="s">
        <v>96</v>
      </c>
      <c r="D9" s="86" t="s">
        <v>108</v>
      </c>
      <c r="E9" s="86"/>
      <c r="F9" s="87"/>
    </row>
    <row r="10" spans="1:6" x14ac:dyDescent="0.25">
      <c r="A10" s="88" t="s">
        <v>97</v>
      </c>
      <c r="B10" s="81" t="s">
        <v>81</v>
      </c>
      <c r="C10" s="81"/>
      <c r="D10" s="81"/>
      <c r="E10" s="81"/>
      <c r="F10" s="89"/>
    </row>
    <row r="11" spans="1:6" x14ac:dyDescent="0.25">
      <c r="A11" s="90"/>
      <c r="B11" s="82"/>
      <c r="C11" s="82"/>
      <c r="D11" s="82"/>
      <c r="E11" s="82"/>
      <c r="F11" s="91"/>
    </row>
    <row r="12" spans="1:6" x14ac:dyDescent="0.25">
      <c r="A12" s="92"/>
      <c r="B12" s="83"/>
      <c r="C12" s="83"/>
      <c r="D12" s="83"/>
      <c r="E12" s="83"/>
      <c r="F12" s="93"/>
    </row>
    <row r="13" spans="1:6" x14ac:dyDescent="0.25">
      <c r="A13" s="98" t="str">
        <f>CONCATENATE("Responsible Person: ",'Sp1'!C16)</f>
        <v>Responsible Person: Marcelo A.</v>
      </c>
      <c r="B13" s="80"/>
      <c r="C13" s="80"/>
      <c r="D13" s="80"/>
      <c r="E13" s="80"/>
      <c r="F13" s="99"/>
    </row>
    <row r="14" spans="1:6" ht="25.5" thickBot="1" x14ac:dyDescent="0.3">
      <c r="A14" s="94" t="s">
        <v>94</v>
      </c>
      <c r="B14" s="101">
        <v>7</v>
      </c>
      <c r="C14" s="96" t="s">
        <v>99</v>
      </c>
      <c r="D14" s="95"/>
      <c r="E14" s="96" t="s">
        <v>98</v>
      </c>
      <c r="F14" s="97"/>
    </row>
    <row r="16" spans="1:6" ht="13" thickBot="1" x14ac:dyDescent="0.3"/>
    <row r="17" spans="1:6" ht="13" x14ac:dyDescent="0.25">
      <c r="A17" s="84" t="s">
        <v>95</v>
      </c>
      <c r="B17" s="100" t="s">
        <v>100</v>
      </c>
      <c r="C17" s="85" t="s">
        <v>96</v>
      </c>
      <c r="D17" s="86" t="s">
        <v>108</v>
      </c>
      <c r="E17" s="86"/>
      <c r="F17" s="87"/>
    </row>
    <row r="18" spans="1:6" x14ac:dyDescent="0.25">
      <c r="A18" s="88" t="s">
        <v>97</v>
      </c>
      <c r="B18" s="81" t="s">
        <v>83</v>
      </c>
      <c r="C18" s="81"/>
      <c r="D18" s="81"/>
      <c r="E18" s="81"/>
      <c r="F18" s="89"/>
    </row>
    <row r="19" spans="1:6" x14ac:dyDescent="0.25">
      <c r="A19" s="90"/>
      <c r="B19" s="82"/>
      <c r="C19" s="82"/>
      <c r="D19" s="82"/>
      <c r="E19" s="82"/>
      <c r="F19" s="91"/>
    </row>
    <row r="20" spans="1:6" x14ac:dyDescent="0.25">
      <c r="A20" s="92"/>
      <c r="B20" s="83"/>
      <c r="C20" s="83"/>
      <c r="D20" s="83"/>
      <c r="E20" s="83"/>
      <c r="F20" s="93"/>
    </row>
    <row r="21" spans="1:6" x14ac:dyDescent="0.25">
      <c r="A21" s="98" t="e">
        <f>CONCATENATE("Responsible Person: ",'Sp1'!#REF!)</f>
        <v>#REF!</v>
      </c>
      <c r="B21" s="80"/>
      <c r="C21" s="80"/>
      <c r="D21" s="80"/>
      <c r="E21" s="80"/>
      <c r="F21" s="99"/>
    </row>
    <row r="22" spans="1:6" ht="25.5" thickBot="1" x14ac:dyDescent="0.3">
      <c r="A22" s="94" t="s">
        <v>94</v>
      </c>
      <c r="B22" s="101">
        <v>12</v>
      </c>
      <c r="C22" s="96" t="s">
        <v>99</v>
      </c>
      <c r="D22" s="95"/>
      <c r="E22" s="96" t="s">
        <v>98</v>
      </c>
      <c r="F22" s="97"/>
    </row>
    <row r="24" spans="1:6" ht="13" thickBot="1" x14ac:dyDescent="0.3"/>
    <row r="25" spans="1:6" ht="13" x14ac:dyDescent="0.25">
      <c r="A25" s="84" t="s">
        <v>95</v>
      </c>
      <c r="B25" s="100" t="s">
        <v>100</v>
      </c>
      <c r="C25" s="85" t="s">
        <v>96</v>
      </c>
      <c r="D25" s="86" t="s">
        <v>108</v>
      </c>
      <c r="E25" s="86"/>
      <c r="F25" s="87"/>
    </row>
    <row r="26" spans="1:6" x14ac:dyDescent="0.25">
      <c r="A26" s="88" t="s">
        <v>97</v>
      </c>
      <c r="B26" s="81" t="s">
        <v>84</v>
      </c>
      <c r="C26" s="81"/>
      <c r="D26" s="81"/>
      <c r="E26" s="81"/>
      <c r="F26" s="89"/>
    </row>
    <row r="27" spans="1:6" x14ac:dyDescent="0.25">
      <c r="A27" s="90"/>
      <c r="B27" s="82"/>
      <c r="C27" s="82"/>
      <c r="D27" s="82"/>
      <c r="E27" s="82"/>
      <c r="F27" s="91"/>
    </row>
    <row r="28" spans="1:6" x14ac:dyDescent="0.25">
      <c r="A28" s="92"/>
      <c r="B28" s="83"/>
      <c r="C28" s="83"/>
      <c r="D28" s="83"/>
      <c r="E28" s="83"/>
      <c r="F28" s="93"/>
    </row>
    <row r="29" spans="1:6" x14ac:dyDescent="0.25">
      <c r="A29" s="98" t="str">
        <f>CONCATENATE("Responsible Person: ",'Sp1'!C17)</f>
        <v>Responsible Person: Marcelo A.</v>
      </c>
      <c r="B29" s="80"/>
      <c r="C29" s="80"/>
      <c r="D29" s="80"/>
      <c r="E29" s="80"/>
      <c r="F29" s="99"/>
    </row>
    <row r="30" spans="1:6" ht="25.5" thickBot="1" x14ac:dyDescent="0.3">
      <c r="A30" s="94" t="s">
        <v>94</v>
      </c>
      <c r="B30" s="101">
        <v>9</v>
      </c>
      <c r="C30" s="96" t="s">
        <v>99</v>
      </c>
      <c r="D30" s="95"/>
      <c r="E30" s="96" t="s">
        <v>98</v>
      </c>
      <c r="F30" s="97"/>
    </row>
  </sheetData>
  <phoneticPr fontId="2" type="noConversion"/>
  <pageMargins left="0.19685039370078741" right="0.19685039370078741" top="0.19685039370078741" bottom="0.19685039370078741" header="0.51181102362204722" footer="0.51181102362204722"/>
  <pageSetup paperSize="9" fitToHeight="100" orientation="portrait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33</vt:i4>
      </vt:variant>
    </vt:vector>
  </HeadingPairs>
  <TitlesOfParts>
    <vt:vector size="40" baseType="lpstr">
      <vt:lpstr>Release Plan</vt:lpstr>
      <vt:lpstr>Product Backlog</vt:lpstr>
      <vt:lpstr>PB Burndown</vt:lpstr>
      <vt:lpstr>Sp1</vt:lpstr>
      <vt:lpstr>Sp2</vt:lpstr>
      <vt:lpstr>Sprint Sheet Template</vt:lpstr>
      <vt:lpstr>Task Slips</vt:lpstr>
      <vt:lpstr>'Product Backlog'!Área_de_impresión</vt:lpstr>
      <vt:lpstr>'Sp1'!DoneDays</vt:lpstr>
      <vt:lpstr>'Sp2'!DoneDays</vt:lpstr>
      <vt:lpstr>'Sprint Sheet Template'!DoneDays</vt:lpstr>
      <vt:lpstr>'Sp1'!ImplementationDays</vt:lpstr>
      <vt:lpstr>'Sp2'!ImplementationDays</vt:lpstr>
      <vt:lpstr>'Sprint Sheet Template'!ImplementationDays</vt:lpstr>
      <vt:lpstr>ProductBacklog</vt:lpstr>
      <vt:lpstr>Sprint</vt:lpstr>
      <vt:lpstr>SprintCount</vt:lpstr>
      <vt:lpstr>SprintsInTrend</vt:lpstr>
      <vt:lpstr>'Sp1'!SprintTasks</vt:lpstr>
      <vt:lpstr>'Sp2'!SprintTasks</vt:lpstr>
      <vt:lpstr>SprintTasks</vt:lpstr>
      <vt:lpstr>Status</vt:lpstr>
      <vt:lpstr>StoryName</vt:lpstr>
      <vt:lpstr>'Sp1'!TaskRows</vt:lpstr>
      <vt:lpstr>'Sp2'!TaskRows</vt:lpstr>
      <vt:lpstr>'Sprint Sheet Template'!TaskRows</vt:lpstr>
      <vt:lpstr>'Sp1'!TaskStatus</vt:lpstr>
      <vt:lpstr>'Sp2'!TaskStatus</vt:lpstr>
      <vt:lpstr>TaskStatus</vt:lpstr>
      <vt:lpstr>'Sp1'!TaskStoryID</vt:lpstr>
      <vt:lpstr>'Sp2'!TaskStoryID</vt:lpstr>
      <vt:lpstr>TaskStoryID</vt:lpstr>
      <vt:lpstr>'Sp1'!TotalEffort</vt:lpstr>
      <vt:lpstr>'Sp2'!TotalEffort</vt:lpstr>
      <vt:lpstr>'Sprint Sheet Template'!TotalEffort</vt:lpstr>
      <vt:lpstr>'Sp1'!TrendDays</vt:lpstr>
      <vt:lpstr>'Sp2'!TrendDays</vt:lpstr>
      <vt:lpstr>TrendDays</vt:lpstr>
      <vt:lpstr>TrendOffset</vt:lpstr>
      <vt:lpstr>TrendSprintCount</vt:lpstr>
    </vt:vector>
  </TitlesOfParts>
  <Company>SysOpen Digia Plc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Iteration Plans</dc:title>
  <dc:subject/>
  <dc:creator>&lt; Your name &gt;</dc:creator>
  <dc:description>Template versio 1.0 Approval</dc:description>
  <cp:lastModifiedBy>Xhelo Aros</cp:lastModifiedBy>
  <cp:revision>1</cp:revision>
  <cp:lastPrinted>2006-09-01T14:59:00Z</cp:lastPrinted>
  <dcterms:created xsi:type="dcterms:W3CDTF">1998-06-05T11:20:44Z</dcterms:created>
  <dcterms:modified xsi:type="dcterms:W3CDTF">2018-05-14T07:51:37Z</dcterms:modified>
  <cp:category>SysOpen Digia Standard Template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